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BB3B8126-9192-4D02-9C0B-E3C880FE7E83}" xr6:coauthVersionLast="38" xr6:coauthVersionMax="38" xr10:uidLastSave="{00000000-0000-0000-0000-000000000000}"/>
  <bookViews>
    <workbookView xWindow="0" yWindow="0" windowWidth="24000" windowHeight="10950" xr2:uid="{00000000-000D-0000-FFFF-FFFF00000000}"/>
  </bookViews>
  <sheets>
    <sheet name="1438-1439" sheetId="1" r:id="rId1"/>
  </sheets>
  <definedNames>
    <definedName name="_xlcn.WorksheetConnection_EMT14381439Start.xlsxfSales31" hidden="1">fSales3[]</definedName>
  </definedNames>
  <calcPr calcId="179021"/>
  <pivotCaches>
    <pivotCache cacheId="51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Sales3" name="fSales3" connection="WorksheetConnection_EMT1438-1439Start.xlsx!fSales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9" i="1" l="1"/>
  <c r="I10" i="1"/>
  <c r="I11" i="1"/>
  <c r="I8" i="1"/>
  <c r="H9" i="1"/>
  <c r="H10" i="1"/>
  <c r="H11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13E237-129B-4CD8-BC6C-A0E82987AA97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F6C98CA-5109-47B3-B067-25E294E0E0B6}" name="WorksheetConnection_EMT1438-1439Start.xlsx!fSales3" type="102" refreshedVersion="6" minRefreshableVersion="5">
    <extLst>
      <ext xmlns:x15="http://schemas.microsoft.com/office/spreadsheetml/2010/11/main" uri="{DE250136-89BD-433C-8126-D09CA5730AF9}">
        <x15:connection id="fSales3">
          <x15:rangePr sourceName="_xlcn.WorksheetConnection_EMT14381439Start.xlsxfSales31"/>
        </x15:connection>
      </ext>
    </extLst>
  </connection>
</connections>
</file>

<file path=xl/sharedStrings.xml><?xml version="1.0" encoding="utf-8"?>
<sst xmlns="http://schemas.openxmlformats.org/spreadsheetml/2006/main" count="61" uniqueCount="21">
  <si>
    <t>Date</t>
  </si>
  <si>
    <t>Product</t>
  </si>
  <si>
    <t>Sales</t>
  </si>
  <si>
    <t>Channel</t>
  </si>
  <si>
    <t>Carlota</t>
  </si>
  <si>
    <t>Quad</t>
  </si>
  <si>
    <t>Bellen</t>
  </si>
  <si>
    <t>Aspen</t>
  </si>
  <si>
    <t>Yanaki</t>
  </si>
  <si>
    <t>Web Site</t>
  </si>
  <si>
    <t>In Store</t>
  </si>
  <si>
    <t>Mail Order</t>
  </si>
  <si>
    <t>Dealer</t>
  </si>
  <si>
    <t>Freestyle</t>
  </si>
  <si>
    <t>Beginner</t>
  </si>
  <si>
    <t>Column1</t>
  </si>
  <si>
    <t>Excel Magic Trick 1438: Excel Spreadhseet Formula to Create Cross Tabulated OR &amp; AND Logical Test Sales Total</t>
  </si>
  <si>
    <t>Excel Magic Trick 1439: DAX Formula to Create Cross Tabulated OR &amp; AND Logical Test Sales Total</t>
  </si>
  <si>
    <t>Grand Total</t>
  </si>
  <si>
    <t>Sales by FreeStyle</t>
  </si>
  <si>
    <t>Sales by Beginner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</si>
</sst>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\$#,##0.00;\(\$#,##0.00\);\$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3" fillId="0" borderId="0" xfId="0" applyFont="1"/>
    <xf numFmtId="43" fontId="0" fillId="0" borderId="0" xfId="1" applyFont="1"/>
    <xf numFmtId="0" fontId="0" fillId="0" borderId="1" xfId="0" applyBorder="1"/>
    <xf numFmtId="0" fontId="2" fillId="3" borderId="1" xfId="0" applyFont="1" applyFill="1" applyBorder="1"/>
    <xf numFmtId="4" fontId="0" fillId="2" borderId="1" xfId="0" applyNumberFormat="1" applyFill="1" applyBorder="1"/>
    <xf numFmtId="0" fontId="4" fillId="4" borderId="0" xfId="0" applyFont="1" applyFill="1"/>
    <xf numFmtId="0" fontId="0" fillId="0" borderId="0" xfId="0" pivotButton="1"/>
    <xf numFmtId="164" fontId="0" fillId="0" borderId="0" xfId="0" applyNumberFormat="1"/>
  </cellXfs>
  <cellStyles count="2">
    <cellStyle name="Comma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91.593317824074" createdVersion="5" refreshedVersion="6" minRefreshableVersion="3" recordCount="0" supportSubquery="1" supportAdvancedDrill="1" xr:uid="{126D060D-20A6-471E-9AC9-549A4773E4CD}">
  <cacheSource type="external" connectionId="1"/>
  <cacheFields count="3">
    <cacheField name="[fSales3].[Channel].[Channel]" caption="Channel" numFmtId="0" hierarchy="3" level="1">
      <sharedItems count="4">
        <s v="Dealer"/>
        <s v="In Store"/>
        <s v="Mail Order"/>
        <s v="Web Site"/>
      </sharedItems>
    </cacheField>
    <cacheField name="[Measures].[Sales by FreeStyle]" caption="Sales by FreeStyle" numFmtId="0" hierarchy="7" level="32767"/>
    <cacheField name="[Measures].[Sales by Beginner]" caption="Sales by Beginner" numFmtId="0" hierarchy="9" level="32767"/>
  </cacheFields>
  <cacheHierarchies count="12">
    <cacheHierarchy uniqueName="[fSales3].[Date]" caption="Date" attribute="1" time="1" defaultMemberUniqueName="[fSales3].[Date].[All]" allUniqueName="[fSales3].[Date].[All]" dimensionUniqueName="[fSales3]" displayFolder="" count="0" memberValueDatatype="7" unbalanced="0"/>
    <cacheHierarchy uniqueName="[fSales3].[Product]" caption="Product" attribute="1" defaultMemberUniqueName="[fSales3].[Product].[All]" allUniqueName="[fSales3].[Product].[All]" dimensionUniqueName="[fSales3]" displayFolder="" count="0" memberValueDatatype="130" unbalanced="0"/>
    <cacheHierarchy uniqueName="[fSales3].[Column1]" caption="Column1" attribute="1" defaultMemberUniqueName="[fSales3].[Column1].[All]" allUniqueName="[fSales3].[Column1].[All]" dimensionUniqueName="[fSales3]" displayFolder="" count="0" memberValueDatatype="130" unbalanced="0"/>
    <cacheHierarchy uniqueName="[fSales3].[Channel]" caption="Channel" attribute="1" defaultMemberUniqueName="[fSales3].[Channel].[All]" allUniqueName="[fSales3].[Channel].[All]" dimensionUniqueName="[fSales3]" displayFolder="" count="2" memberValueDatatype="130" unbalanced="0">
      <fieldsUsage count="2">
        <fieldUsage x="-1"/>
        <fieldUsage x="0"/>
      </fieldsUsage>
    </cacheHierarchy>
    <cacheHierarchy uniqueName="[fSales3].[Sales]" caption="Sales" attribute="1" defaultMemberUniqueName="[fSales3].[Sales].[All]" allUniqueName="[fSales3].[Sales].[All]" dimensionUniqueName="[fSales3]" displayFolder="" count="0" memberValueDatatype="5" unbalanced="0"/>
    <cacheHierarchy uniqueName="[fSales3].[Group]" caption="Group" attribute="1" defaultMemberUniqueName="[fSales3].[Group].[All]" allUniqueName="[fSales3].[Group].[All]" dimensionUniqueName="[fSales3]" displayFolder="" count="0" memberValueDatatype="20" unbalanced="0"/>
    <cacheHierarchy uniqueName="[Measures].[Total Sales]" caption="Total Sales" measure="1" displayFolder="" measureGroup="fSales3" count="0"/>
    <cacheHierarchy uniqueName="[Measures].[Sales by FreeStyle]" caption="Sales by FreeStyle" measure="1" displayFolder="" measureGroup="fSales3" count="0" oneField="1">
      <fieldsUsage count="1">
        <fieldUsage x="1"/>
      </fieldsUsage>
    </cacheHierarchy>
    <cacheHierarchy uniqueName="[Measures].[sales of freestyle]" caption="sales of freestyle" measure="1" displayFolder="" measureGroup="fSales3" count="0"/>
    <cacheHierarchy uniqueName="[Measures].[Sales by Beginner]" caption="Sales by Beginner" measure="1" displayFolder="" measureGroup="fSales3" count="0" oneField="1">
      <fieldsUsage count="1">
        <fieldUsage x="2"/>
      </fieldsUsage>
    </cacheHierarchy>
    <cacheHierarchy uniqueName="[Measures].[__XL_Count fSales3]" caption="__XL_Count fSales3" measure="1" displayFolder="" measureGroup="fSales3" count="0" hidden="1"/>
    <cacheHierarchy uniqueName="[Measures].[__No measures defined]" caption="__No measures defined" measure="1" displayFolder="" count="0" hidden="1"/>
  </cacheHierarchies>
  <kpis count="0"/>
  <dimensions count="2">
    <dimension name="fSales3" uniqueName="[fSales3]" caption="fSales3"/>
    <dimension measure="1" name="Measures" uniqueName="[Measures]" caption="Measures"/>
  </dimensions>
  <measureGroups count="1">
    <measureGroup name="fSales3" caption="fSales3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3B5DE-B0EA-4DD8-8182-D62075EFE887}" name="PivotTable1" cacheId="51" applyNumberFormats="0" applyBorderFormats="0" applyFontFormats="0" applyPatternFormats="0" applyAlignmentFormats="0" applyWidthHeightFormats="1" dataCaption="Values" missingCaption="0" tag="3b35ed1d-6139-4333-bee5-e52b76fc9b1f" updatedVersion="6" minRefreshableVersion="3" useAutoFormatting="1" itemPrintTitles="1" createdVersion="5" indent="0" compact="0" compactData="0" multipleFieldFilters="0">
  <location ref="G13:I18" firstHeaderRow="0" firstDataRow="1" firstDataCol="1"/>
  <pivotFields count="3">
    <pivotField axis="axisRow" compact="0" allDrilled="1" outline="0" subtotalTop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ubtotalTop="0" showAll="0"/>
    <pivotField dataField="1" compact="0" outline="0" subtotalTop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Sales3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Sales3" displayName="fSales3" ref="A4:E18" totalsRowShown="0" headerRowDxfId="2">
  <autoFilter ref="A4:E18" xr:uid="{00000000-0009-0000-0100-000002000000}"/>
  <tableColumns count="5">
    <tableColumn id="1" xr3:uid="{00000000-0010-0000-0000-000001000000}" name="Date" dataDxfId="1"/>
    <tableColumn id="2" xr3:uid="{00000000-0010-0000-0000-000002000000}" name="Product"/>
    <tableColumn id="5" xr3:uid="{00000000-0010-0000-0000-000005000000}" name="Column1"/>
    <tableColumn id="3" xr3:uid="{00000000-0010-0000-0000-000003000000}" name="Channel"/>
    <tableColumn id="4" xr3:uid="{00000000-0010-0000-0000-000004000000}" name="Sales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K18"/>
  <sheetViews>
    <sheetView tabSelected="1" zoomScale="160" zoomScaleNormal="160" workbookViewId="0">
      <selection activeCell="E11" sqref="E11"/>
    </sheetView>
  </sheetViews>
  <sheetFormatPr defaultRowHeight="15" x14ac:dyDescent="0.25"/>
  <cols>
    <col min="1" max="1" width="10" bestFit="1" customWidth="1"/>
    <col min="4" max="4" width="10.5703125" customWidth="1"/>
    <col min="5" max="5" width="10" bestFit="1" customWidth="1"/>
    <col min="6" max="6" width="2.7109375" customWidth="1"/>
    <col min="7" max="7" width="11.28515625" customWidth="1"/>
    <col min="8" max="8" width="17.28515625" bestFit="1" customWidth="1"/>
    <col min="9" max="9" width="16.7109375" bestFit="1" customWidth="1"/>
    <col min="10" max="12" width="10.140625" bestFit="1" customWidth="1"/>
    <col min="13" max="13" width="11.28515625" bestFit="1" customWidth="1"/>
  </cols>
  <sheetData>
    <row r="1" spans="1:11" ht="15.75" x14ac:dyDescent="0.25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5.75" x14ac:dyDescent="0.25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x14ac:dyDescent="0.25">
      <c r="A4" s="2" t="s">
        <v>0</v>
      </c>
      <c r="B4" s="2" t="s">
        <v>1</v>
      </c>
      <c r="C4" s="2" t="s">
        <v>15</v>
      </c>
      <c r="D4" s="2" t="s">
        <v>3</v>
      </c>
      <c r="E4" s="2" t="s">
        <v>2</v>
      </c>
      <c r="H4" s="5" t="s">
        <v>13</v>
      </c>
      <c r="I4" s="5" t="s">
        <v>14</v>
      </c>
      <c r="K4" s="2" t="s">
        <v>1</v>
      </c>
    </row>
    <row r="5" spans="1:11" x14ac:dyDescent="0.25">
      <c r="A5" s="1">
        <v>42884</v>
      </c>
      <c r="B5" t="s">
        <v>4</v>
      </c>
      <c r="D5" t="s">
        <v>9</v>
      </c>
      <c r="E5" s="3">
        <v>400.97</v>
      </c>
      <c r="H5" s="4" t="s">
        <v>5</v>
      </c>
      <c r="I5" s="4" t="s">
        <v>6</v>
      </c>
      <c r="K5" t="s">
        <v>7</v>
      </c>
    </row>
    <row r="6" spans="1:11" x14ac:dyDescent="0.25">
      <c r="A6" s="1">
        <v>42885</v>
      </c>
      <c r="B6" t="s">
        <v>5</v>
      </c>
      <c r="D6" t="s">
        <v>10</v>
      </c>
      <c r="E6" s="3">
        <v>734.16</v>
      </c>
      <c r="H6" s="4" t="s">
        <v>4</v>
      </c>
      <c r="I6" s="4" t="s">
        <v>7</v>
      </c>
      <c r="K6" t="s">
        <v>6</v>
      </c>
    </row>
    <row r="7" spans="1:11" x14ac:dyDescent="0.25">
      <c r="A7" s="1">
        <v>42886</v>
      </c>
      <c r="B7" t="s">
        <v>6</v>
      </c>
      <c r="D7" t="s">
        <v>11</v>
      </c>
      <c r="E7" s="3">
        <v>628.54999999999995</v>
      </c>
      <c r="G7" s="5" t="s">
        <v>3</v>
      </c>
      <c r="H7" s="4"/>
      <c r="I7" s="4" t="s">
        <v>8</v>
      </c>
      <c r="K7" t="s">
        <v>4</v>
      </c>
    </row>
    <row r="8" spans="1:11" x14ac:dyDescent="0.25">
      <c r="A8" s="1">
        <v>42887</v>
      </c>
      <c r="B8" t="s">
        <v>7</v>
      </c>
      <c r="D8" t="s">
        <v>12</v>
      </c>
      <c r="E8" s="3">
        <v>1637.68</v>
      </c>
      <c r="G8" s="4" t="s">
        <v>12</v>
      </c>
      <c r="H8" s="6">
        <f>SUMPRODUCT(SUMIFS(fSales3[Sales],fSales3[Channel],$G8,fSales3[Product],H$5:H$7))</f>
        <v>0</v>
      </c>
      <c r="I8" s="6">
        <f>SUMPRODUCT(SUMIFS(fSales3[Sales],fSales3[Channel],$G8,fSales3[Product],I$5:I$7))</f>
        <v>4941.9699999999993</v>
      </c>
      <c r="K8" t="s">
        <v>5</v>
      </c>
    </row>
    <row r="9" spans="1:11" x14ac:dyDescent="0.25">
      <c r="A9" s="1">
        <v>42888</v>
      </c>
      <c r="B9" t="s">
        <v>8</v>
      </c>
      <c r="D9" t="s">
        <v>9</v>
      </c>
      <c r="E9" s="3">
        <v>407.92</v>
      </c>
      <c r="G9" s="4" t="s">
        <v>10</v>
      </c>
      <c r="H9" s="6">
        <f>SUMPRODUCT(SUMIFS(fSales3[Sales],fSales3[Channel],$G9,fSales3[Product],H$5:H$7))</f>
        <v>1623.75</v>
      </c>
      <c r="I9" s="6">
        <f>SUMPRODUCT(SUMIFS(fSales3[Sales],fSales3[Channel],$G9,fSales3[Product],I$5:I$7))</f>
        <v>274.60000000000002</v>
      </c>
      <c r="K9" t="s">
        <v>8</v>
      </c>
    </row>
    <row r="10" spans="1:11" x14ac:dyDescent="0.25">
      <c r="A10" s="1">
        <v>42889</v>
      </c>
      <c r="B10" t="s">
        <v>5</v>
      </c>
      <c r="D10" t="s">
        <v>10</v>
      </c>
      <c r="E10" s="3">
        <v>889.59</v>
      </c>
      <c r="G10" s="4" t="s">
        <v>11</v>
      </c>
      <c r="H10" s="6">
        <f>SUMPRODUCT(SUMIFS(fSales3[Sales],fSales3[Channel],$G10,fSales3[Product],H$5:H$7))</f>
        <v>0</v>
      </c>
      <c r="I10" s="6">
        <f>SUMPRODUCT(SUMIFS(fSales3[Sales],fSales3[Channel],$G10,fSales3[Product],I$5:I$7))</f>
        <v>1363.65</v>
      </c>
    </row>
    <row r="11" spans="1:11" x14ac:dyDescent="0.25">
      <c r="A11" s="1">
        <v>42890</v>
      </c>
      <c r="B11" t="s">
        <v>4</v>
      </c>
      <c r="D11" t="s">
        <v>9</v>
      </c>
      <c r="E11" s="3">
        <v>410.55</v>
      </c>
      <c r="G11" s="4" t="s">
        <v>9</v>
      </c>
      <c r="H11" s="6">
        <f>SUMPRODUCT(SUMIFS(fSales3[Sales],fSales3[Channel],$G11,fSales3[Product],H$5:H$7))</f>
        <v>1060.6599999999999</v>
      </c>
      <c r="I11" s="6">
        <f>SUMPRODUCT(SUMIFS(fSales3[Sales],fSales3[Channel],$G11,fSales3[Product],I$5:I$7))</f>
        <v>1753.03</v>
      </c>
    </row>
    <row r="12" spans="1:11" x14ac:dyDescent="0.25">
      <c r="A12" s="1">
        <v>42891</v>
      </c>
      <c r="B12" t="s">
        <v>5</v>
      </c>
      <c r="D12" t="s">
        <v>9</v>
      </c>
      <c r="E12" s="3">
        <v>249.14</v>
      </c>
    </row>
    <row r="13" spans="1:11" x14ac:dyDescent="0.25">
      <c r="A13" s="1">
        <v>42892</v>
      </c>
      <c r="B13" t="s">
        <v>6</v>
      </c>
      <c r="D13" t="s">
        <v>11</v>
      </c>
      <c r="E13" s="3">
        <v>735.1</v>
      </c>
      <c r="G13" s="8" t="s">
        <v>3</v>
      </c>
      <c r="H13" t="s">
        <v>19</v>
      </c>
      <c r="I13" t="s">
        <v>20</v>
      </c>
    </row>
    <row r="14" spans="1:11" x14ac:dyDescent="0.25">
      <c r="A14" s="1">
        <v>42893</v>
      </c>
      <c r="B14" t="s">
        <v>7</v>
      </c>
      <c r="D14" t="s">
        <v>12</v>
      </c>
      <c r="E14" s="3">
        <v>1538.44</v>
      </c>
      <c r="G14" t="s">
        <v>12</v>
      </c>
      <c r="H14" s="9">
        <v>0</v>
      </c>
      <c r="I14" s="9">
        <v>4941.97</v>
      </c>
    </row>
    <row r="15" spans="1:11" x14ac:dyDescent="0.25">
      <c r="A15" s="1">
        <v>42894</v>
      </c>
      <c r="B15" t="s">
        <v>8</v>
      </c>
      <c r="D15" t="s">
        <v>12</v>
      </c>
      <c r="E15" s="3">
        <v>1765.85</v>
      </c>
      <c r="G15" t="s">
        <v>10</v>
      </c>
      <c r="H15" s="9">
        <v>1623.75</v>
      </c>
      <c r="I15" s="9">
        <v>274.59999999999991</v>
      </c>
    </row>
    <row r="16" spans="1:11" x14ac:dyDescent="0.25">
      <c r="A16" s="1">
        <v>42895</v>
      </c>
      <c r="B16" t="s">
        <v>8</v>
      </c>
      <c r="D16" t="s">
        <v>10</v>
      </c>
      <c r="E16" s="3">
        <v>274.60000000000002</v>
      </c>
      <c r="G16" t="s">
        <v>11</v>
      </c>
      <c r="H16" s="9">
        <v>0</v>
      </c>
      <c r="I16" s="9">
        <v>1363.65</v>
      </c>
    </row>
    <row r="17" spans="1:9" x14ac:dyDescent="0.25">
      <c r="A17" s="1">
        <v>42896</v>
      </c>
      <c r="B17" t="s">
        <v>7</v>
      </c>
      <c r="D17" t="s">
        <v>9</v>
      </c>
      <c r="E17" s="3">
        <v>299.02</v>
      </c>
      <c r="G17" t="s">
        <v>9</v>
      </c>
      <c r="H17" s="9">
        <v>1060.6600000000001</v>
      </c>
      <c r="I17" s="9">
        <v>1753.03</v>
      </c>
    </row>
    <row r="18" spans="1:9" x14ac:dyDescent="0.25">
      <c r="A18" s="1">
        <v>42897</v>
      </c>
      <c r="B18" t="s">
        <v>6</v>
      </c>
      <c r="D18" t="s">
        <v>9</v>
      </c>
      <c r="E18" s="3">
        <v>1046.0899999999999</v>
      </c>
      <c r="G18" t="s">
        <v>18</v>
      </c>
      <c r="H18" s="9">
        <v>2684.41</v>
      </c>
      <c r="I18" s="9">
        <v>8333.25</v>
      </c>
    </row>
  </sheetData>
  <sortState xmlns:xlrd2="http://schemas.microsoft.com/office/spreadsheetml/2017/richdata2" ref="K5:K9">
    <sortCondition ref="K5"/>
  </sortState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CCCE647-75FC-43C3-A7FD-783C4EA1715E}">
  <ds:schemaRefs/>
</ds:datastoreItem>
</file>

<file path=customXml/itemProps2.xml><?xml version="1.0" encoding="utf-8"?>
<ds:datastoreItem xmlns:ds="http://schemas.openxmlformats.org/officeDocument/2006/customXml" ds:itemID="{CCA02240-375A-4010-9C08-7266B904C376}">
  <ds:schemaRefs/>
</ds:datastoreItem>
</file>

<file path=customXml/itemProps3.xml><?xml version="1.0" encoding="utf-8"?>
<ds:datastoreItem xmlns:ds="http://schemas.openxmlformats.org/officeDocument/2006/customXml" ds:itemID="{4BFDCD60-7CE8-4E20-B6CA-59DE12E24268}">
  <ds:schemaRefs/>
</ds:datastoreItem>
</file>

<file path=customXml/itemProps4.xml><?xml version="1.0" encoding="utf-8"?>
<ds:datastoreItem xmlns:ds="http://schemas.openxmlformats.org/officeDocument/2006/customXml" ds:itemID="{B43CAD89-FB29-4769-9B06-387445E4C266}">
  <ds:schemaRefs/>
</ds:datastoreItem>
</file>

<file path=customXml/itemProps5.xml><?xml version="1.0" encoding="utf-8"?>
<ds:datastoreItem xmlns:ds="http://schemas.openxmlformats.org/officeDocument/2006/customXml" ds:itemID="{31058ACD-157B-4616-B107-47B93A6DBB11}">
  <ds:schemaRefs/>
</ds:datastoreItem>
</file>

<file path=customXml/itemProps6.xml><?xml version="1.0" encoding="utf-8"?>
<ds:datastoreItem xmlns:ds="http://schemas.openxmlformats.org/officeDocument/2006/customXml" ds:itemID="{171024D0-BE27-482C-B7CF-0B47BFA00731}">
  <ds:schemaRefs/>
</ds:datastoreItem>
</file>

<file path=customXml/itemProps7.xml><?xml version="1.0" encoding="utf-8"?>
<ds:datastoreItem xmlns:ds="http://schemas.openxmlformats.org/officeDocument/2006/customXml" ds:itemID="{219D1048-02BA-4788-A31B-E3BBAB5BFFD2}">
  <ds:schemaRefs/>
</ds:datastoreItem>
</file>

<file path=customXml/itemProps8.xml><?xml version="1.0" encoding="utf-8"?>
<ds:datastoreItem xmlns:ds="http://schemas.openxmlformats.org/officeDocument/2006/customXml" ds:itemID="{BBAFFBBE-0918-42E4-8B17-472C5CBDE302}">
  <ds:schemaRefs/>
</ds:datastoreItem>
</file>

<file path=customXml/itemProps9.xml><?xml version="1.0" encoding="utf-8"?>
<ds:datastoreItem xmlns:ds="http://schemas.openxmlformats.org/officeDocument/2006/customXml" ds:itemID="{938B2166-EDE6-4060-9C01-E139ECA0A0C5}">
  <ds:schemaRefs/>
</ds:datastoreItem>
</file>

<file path=customXml/itemProps10.xml><?xml version="1.0" encoding="utf-8"?>
<ds:datastoreItem xmlns:ds="http://schemas.openxmlformats.org/officeDocument/2006/customXml" ds:itemID="{2A24CB2C-9630-4868-8D9C-839BDD1A660F}">
  <ds:schemaRefs/>
</ds:datastoreItem>
</file>

<file path=customXml/itemProps11.xml><?xml version="1.0" encoding="utf-8"?>
<ds:datastoreItem xmlns:ds="http://schemas.openxmlformats.org/officeDocument/2006/customXml" ds:itemID="{D8D27F13-B723-4644-A391-7DDA104B2C52}">
  <ds:schemaRefs/>
</ds:datastoreItem>
</file>

<file path=customXml/itemProps12.xml><?xml version="1.0" encoding="utf-8"?>
<ds:datastoreItem xmlns:ds="http://schemas.openxmlformats.org/officeDocument/2006/customXml" ds:itemID="{A22D54BA-FE68-49DC-AC7B-23393EED9AB9}">
  <ds:schemaRefs/>
</ds:datastoreItem>
</file>

<file path=customXml/itemProps13.xml><?xml version="1.0" encoding="utf-8"?>
<ds:datastoreItem xmlns:ds="http://schemas.openxmlformats.org/officeDocument/2006/customXml" ds:itemID="{9F7AF441-C052-4F7F-AF4B-07EAACE3D473}">
  <ds:schemaRefs/>
</ds:datastoreItem>
</file>

<file path=customXml/itemProps14.xml><?xml version="1.0" encoding="utf-8"?>
<ds:datastoreItem xmlns:ds="http://schemas.openxmlformats.org/officeDocument/2006/customXml" ds:itemID="{ED57B376-A305-4326-AA4C-E5DDDC6F650A}">
  <ds:schemaRefs/>
</ds:datastoreItem>
</file>

<file path=customXml/itemProps15.xml><?xml version="1.0" encoding="utf-8"?>
<ds:datastoreItem xmlns:ds="http://schemas.openxmlformats.org/officeDocument/2006/customXml" ds:itemID="{AA4B16B0-BE5B-4D76-B14E-D734FE2D0BF8}">
  <ds:schemaRefs/>
</ds:datastoreItem>
</file>

<file path=customXml/itemProps16.xml><?xml version="1.0" encoding="utf-8"?>
<ds:datastoreItem xmlns:ds="http://schemas.openxmlformats.org/officeDocument/2006/customXml" ds:itemID="{19E88223-A4D9-40C1-B403-AC6A552209B1}">
  <ds:schemaRefs/>
</ds:datastoreItem>
</file>

<file path=customXml/itemProps17.xml><?xml version="1.0" encoding="utf-8"?>
<ds:datastoreItem xmlns:ds="http://schemas.openxmlformats.org/officeDocument/2006/customXml" ds:itemID="{61DB7A58-027E-4B4F-9B36-FEC2EED5CEA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1438-1439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Ngoc Dinh</cp:lastModifiedBy>
  <dcterms:created xsi:type="dcterms:W3CDTF">2017-05-29T17:15:20Z</dcterms:created>
  <dcterms:modified xsi:type="dcterms:W3CDTF">2018-10-18T07:14:26Z</dcterms:modified>
</cp:coreProperties>
</file>