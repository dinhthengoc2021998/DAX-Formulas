
<file path=[Content_Types].xml><?xml version="1.0" encoding="utf-8"?>
<Types xmlns="http://schemas.openxmlformats.org/package/2006/content-type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customXml/itemProps30.xml" ContentType="application/vnd.openxmlformats-officedocument.customXmlProperties+xml"/>
  <Override PartName="/customXml/itemProps31.xml" ContentType="application/vnd.openxmlformats-officedocument.customXmlProperties+xml"/>
  <Override PartName="/customXml/itemProps32.xml" ContentType="application/vnd.openxmlformats-officedocument.customXmlProperties+xml"/>
  <Override PartName="/customXml/itemProps33.xml" ContentType="application/vnd.openxmlformats-officedocument.customXmlProperties+xml"/>
  <Override PartName="/customXml/itemProps34.xml" ContentType="application/vnd.openxmlformats-officedocument.customXmlProperties+xml"/>
  <Override PartName="/customXml/itemProps35.xml" ContentType="application/vnd.openxmlformats-officedocument.customXmlProperties+xml"/>
  <Override PartName="/customXml/itemProps36.xml" ContentType="application/vnd.openxmlformats-officedocument.customXmlProperties+xml"/>
  <Override PartName="/customXml/itemProps37.xml" ContentType="application/vnd.openxmlformats-officedocument.customXmlProperties+xml"/>
  <Override PartName="/customXml/itemProps38.xml" ContentType="application/vnd.openxmlformats-officedocument.customXmlProperties+xml"/>
  <Override PartName="/customXml/itemProps39.xml" ContentType="application/vnd.openxmlformats-officedocument.customXmlProperties+xml"/>
  <Override PartName="/customXml/itemProps40.xml" ContentType="application/vnd.openxmlformats-officedocument.customXmlProperties+xml"/>
  <Override PartName="/customXml/itemProps41.xml" ContentType="application/vnd.openxmlformats-officedocument.customXmlProperties+xml"/>
  <Override PartName="/customXml/itemProps42.xml" ContentType="application/vnd.openxmlformats-officedocument.customXmlProperties+xml"/>
  <Override PartName="/customXml/itemProps43.xml" ContentType="application/vnd.openxmlformats-officedocument.customXmlProperties+xml"/>
  <Override PartName="/customXml/itemProps44.xml" ContentType="application/vnd.openxmlformats-officedocument.customXmlProperties+xml"/>
  <Override PartName="/customXml/itemProps45.xml" ContentType="application/vnd.openxmlformats-officedocument.customXmlProperties+xml"/>
  <Override PartName="/customXml/itemProps46.xml" ContentType="application/vnd.openxmlformats-officedocument.customXmlProperties+xml"/>
  <Override PartName="/customXml/itemProps47.xml" ContentType="application/vnd.openxmlformats-officedocument.customXmlProperties+xml"/>
  <Override PartName="/customXml/itemProps48.xml" ContentType="application/vnd.openxmlformats-officedocument.customXmlProperties+xml"/>
  <Override PartName="/customXml/itemProps49.xml" ContentType="application/vnd.openxmlformats-officedocument.customXmlProperties+xml"/>
  <Override PartName="/customXml/itemProps50.xml" ContentType="application/vnd.openxmlformats-officedocument.customXmlProperties+xml"/>
  <Override PartName="/customXml/itemProps51.xml" ContentType="application/vnd.openxmlformats-officedocument.customXmlProperties+xml"/>
  <Override PartName="/customXml/itemProps52.xml" ContentType="application/vnd.openxmlformats-officedocument.customXmlProperties+xml"/>
  <Override PartName="/customXml/itemProps53.xml" ContentType="application/vnd.openxmlformats-officedocument.customXmlProperties+xml"/>
  <Override PartName="/customXml/itemProps54.xml" ContentType="application/vnd.openxmlformats-officedocument.customXmlProperties+xml"/>
  <Override PartName="/customXml/itemProps55.xml" ContentType="application/vnd.openxmlformats-officedocument.customXmlProperties+xml"/>
  <Override PartName="/customXml/itemProps56.xml" ContentType="application/vnd.openxmlformats-officedocument.customXmlProperties+xml"/>
  <Override PartName="/customXml/itemProps57.xml" ContentType="application/vnd.openxmlformats-officedocument.customXmlProperties+xml"/>
  <Override PartName="/customXml/itemProps5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827"/>
  <workbookPr filterPrivacy="1" defaultThemeVersion="124226"/>
  <xr:revisionPtr revIDLastSave="0" documentId="13_ncr:1_{1685BB64-2942-4472-BED5-0C50E806BAB8}" xr6:coauthVersionLast="37" xr6:coauthVersionMax="37" xr10:uidLastSave="{00000000-0000-0000-0000-000000000000}"/>
  <bookViews>
    <workbookView xWindow="2790" yWindow="0" windowWidth="11640" windowHeight="9210" xr2:uid="{00000000-000D-0000-FFFF-FFFF00000000}"/>
  </bookViews>
  <sheets>
    <sheet name="Boolean&gt;&lt;Filter()" sheetId="34" r:id="rId1"/>
    <sheet name="Average by BuildRelationship" sheetId="33" r:id="rId2"/>
    <sheet name="Average by DisConnectedTable" sheetId="31" r:id="rId3"/>
    <sheet name="TNR beginner Product byTime" sheetId="29" r:id="rId4"/>
    <sheet name="% Change Fixed Number" sheetId="28" r:id="rId5"/>
    <sheet name="% Change SamePeriod" sheetId="26" r:id="rId6"/>
    <sheet name="Topics" sheetId="1" r:id="rId7"/>
    <sheet name="CALCULATE Notes" sheetId="25" r:id="rId8"/>
    <sheet name="CC vs. CF" sheetId="20" r:id="rId9"/>
    <sheet name="BLANK" sheetId="21" r:id="rId10"/>
    <sheet name="Operators" sheetId="22" r:id="rId11"/>
    <sheet name="Zero Infinity" sheetId="23" r:id="rId12"/>
    <sheet name="Data Types" sheetId="24" r:id="rId13"/>
  </sheets>
  <calcPr calcId="179021"/>
  <pivotCaches>
    <pivotCache cacheId="38" r:id="rId14"/>
    <pivotCache cacheId="44" r:id="rId15"/>
    <pivotCache cacheId="47" r:id="rId16"/>
    <pivotCache cacheId="50" r:id="rId17"/>
    <pivotCache cacheId="53" r:id="rId18"/>
    <pivotCache cacheId="56" r:id="rId19"/>
    <pivotCache cacheId="59" r:id="rId20"/>
    <pivotCache cacheId="62" r:id="rId21"/>
    <pivotCache cacheId="79" r:id="rId22"/>
    <pivotCache cacheId="82" r:id="rId23"/>
  </pivotCaches>
  <extLst>
    <ext xmlns:x15="http://schemas.microsoft.com/office/spreadsheetml/2010/11/main" uri="{FCE2AD5D-F65C-4FA6-A056-5C36A1767C68}">
      <x15:dataModel>
        <x15:modelTables>
          <x15:modelTable id="dCategory_a68e345f-622a-4eea-81ac-0d2478dc087f" name="dCategory" connection="Access PowerPivot10-SourceData"/>
          <x15:modelTable id="dProducts_ab55d0de-a71c-4626-892f-26f516c435d2" name="dProducts" connection="Access PowerPivot10-SourceData"/>
          <x15:modelTable id="fSales_2dc773da-3612-496a-86e8-2be91d2a0d1e" name="fSales" connection="Access PowerPivot10-SourceData"/>
          <x15:modelTable id="dCalendar_e5a34279-7108-40ed-8d24-c6277ebf640f" name="dCalendar" connection="Excel PowerPivot10-SourceData"/>
          <x15:modelTable id="DisSalesCategories_ca790e78-d23e-4784-bfac-8db144a196fa" name="DisSalesCategories" connection="Excel PowerPivot10-SourceData"/>
        </x15:modelTables>
        <x15:modelRelationships>
          <x15:modelRelationship fromTable="dProducts" fromColumn="CategoryKey" toTable="dCategory" toColumn="CategoryKey"/>
          <x15:modelRelationship fromTable="fSales" fromColumn="ProductID" toTable="dProducts" toColumn="ProductID"/>
          <x15:modelRelationship fromTable="fSales" fromColumn="Date" toTable="dCalendar" toColumn="Dates"/>
          <x15:modelRelationship fromTable="fSales" fromColumn="Lower Limited For Sales" toTable="DisSalesCategories" toColumn="Lower"/>
        </x15:modelRelationships>
      </x15:dataModel>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A24" i="21" l="1"/>
  <c r="A23" i="21"/>
  <c r="A22" i="2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Access PowerPivot10-SourceData" type="100" refreshedVersion="0">
    <extLst>
      <ext xmlns:x15="http://schemas.microsoft.com/office/spreadsheetml/2010/11/main" uri="{DE250136-89BD-433C-8126-D09CA5730AF9}">
        <x15:connection id="dd0fc296-e5a1-47ae-89f5-91eba834db2a"/>
      </ext>
    </extLst>
  </connection>
  <connection id="2" xr16:uid="{00000000-0015-0000-FFFF-FFFF01000000}" name="Excel PowerPivot10-SourceData" type="100" refreshedVersion="5">
    <extLst>
      <ext xmlns:x15="http://schemas.microsoft.com/office/spreadsheetml/2010/11/main" uri="{DE250136-89BD-433C-8126-D09CA5730AF9}">
        <x15:connection id="3167b524-b27b-4f5d-9dc7-9fd749d0b125"/>
      </ext>
    </extLst>
  </connection>
  <connection id="3" xr16:uid="{00000000-0015-0000-FFFF-FFFF02000000}" keepAlive="1" name="ThisWorkbookDataModel" description="Data Model" type="5" refreshedVersion="6"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<sst xmlns="http://schemas.openxmlformats.org/spreadsheetml/2006/main" count="356" uniqueCount="232">
  <si>
    <t>CALCULATE function can change the Filter Context (Criteria from PivotTable)</t>
  </si>
  <si>
    <t>Boolean Criteria</t>
  </si>
  <si>
    <t>SAMEPERIODLASTYEAR</t>
  </si>
  <si>
    <t>Functions is videos:</t>
  </si>
  <si>
    <t>ALL</t>
  </si>
  <si>
    <t>FILTER</t>
  </si>
  <si>
    <t>CALCULATE</t>
  </si>
  <si>
    <r>
      <t xml:space="preserve">Filter Context = </t>
    </r>
    <r>
      <rPr>
        <b/>
        <sz val="11"/>
        <color theme="1"/>
        <rFont val="Calibri"/>
        <family val="2"/>
        <scheme val="minor"/>
      </rPr>
      <t>Criteria from Row/Column/Filter/Slicer</t>
    </r>
    <r>
      <rPr>
        <sz val="11"/>
        <color theme="1"/>
        <rFont val="Calibri"/>
        <family val="2"/>
        <scheme val="minor"/>
      </rPr>
      <t xml:space="preserve"> filter dTables, then through Relationships the fTables are filtered</t>
    </r>
  </si>
  <si>
    <t>Essense of PivotTable = Calculation with Criteria</t>
  </si>
  <si>
    <r>
      <t xml:space="preserve">Filter Context = </t>
    </r>
    <r>
      <rPr>
        <b/>
        <sz val="11"/>
        <color theme="1"/>
        <rFont val="Calibri"/>
        <family val="2"/>
        <scheme val="minor"/>
      </rPr>
      <t xml:space="preserve">Criteria from Row/Column/Filter/Slicer </t>
    </r>
    <r>
      <rPr>
        <b/>
        <sz val="11"/>
        <color rgb="FFFF0000"/>
        <rFont val="Calibri"/>
        <family val="2"/>
        <scheme val="minor"/>
      </rPr>
      <t>AND</t>
    </r>
    <r>
      <rPr>
        <b/>
        <sz val="11"/>
        <color theme="1"/>
        <rFont val="Calibri"/>
        <family val="2"/>
        <scheme val="minor"/>
      </rPr>
      <t xml:space="preserve"> Criteria from CALCULATE</t>
    </r>
    <r>
      <rPr>
        <sz val="11"/>
        <color theme="1"/>
        <rFont val="Calibri"/>
        <family val="2"/>
        <scheme val="minor"/>
      </rPr>
      <t xml:space="preserve"> filter dTables , then through Relationships the fTables are filtered</t>
    </r>
  </si>
  <si>
    <t>MAX</t>
  </si>
  <si>
    <t>MIN</t>
  </si>
  <si>
    <t>Formula Elementes in video:</t>
  </si>
  <si>
    <t>% Change Formula</t>
  </si>
  <si>
    <t>% of Grand Total</t>
  </si>
  <si>
    <t>Approximate Lookup</t>
  </si>
  <si>
    <t>Frequency Table</t>
  </si>
  <si>
    <t>Total Sales Category</t>
  </si>
  <si>
    <t>Reports:</t>
  </si>
  <si>
    <t>% Change over years and products</t>
  </si>
  <si>
    <t>Bellen</t>
  </si>
  <si>
    <t>Carlota</t>
  </si>
  <si>
    <t>Quad</t>
  </si>
  <si>
    <t>Grand Total</t>
  </si>
  <si>
    <t>Total Net Revenue</t>
  </si>
  <si>
    <t>Calculated Fields = Formulas that see criteria from PivotTable</t>
  </si>
  <si>
    <t>ProductName</t>
  </si>
  <si>
    <t>Year</t>
  </si>
  <si>
    <t>Category</t>
  </si>
  <si>
    <t>Calculated Columns: CC</t>
  </si>
  <si>
    <t>Calculated Fields (Measures): CF</t>
  </si>
  <si>
    <t>Can be used as Row/Column/Filter/Slicer Criteria. Also in CF.</t>
  </si>
  <si>
    <t>Can only be used in Values area of PivotTable. Can be used in CC.</t>
  </si>
  <si>
    <r>
      <rPr>
        <b/>
        <sz val="11"/>
        <color theme="1"/>
        <rFont val="Calibri"/>
        <family val="2"/>
        <scheme val="minor"/>
      </rPr>
      <t>Create new Fields to drag and drop in PivotTable like:</t>
    </r>
    <r>
      <rPr>
        <sz val="11"/>
        <color theme="1"/>
        <rFont val="Calibri"/>
        <family val="2"/>
        <scheme val="minor"/>
      </rPr>
      <t xml:space="preserve">
1) "Month" or "Fiscal Quarter" from Serial Number Dates
2) A new Category using the IF function.
</t>
    </r>
    <r>
      <rPr>
        <b/>
        <sz val="11"/>
        <color theme="1"/>
        <rFont val="Calibri"/>
        <family val="2"/>
        <scheme val="minor"/>
      </rPr>
      <t>Create Line item calculation like:</t>
    </r>
    <r>
      <rPr>
        <sz val="11"/>
        <color theme="1"/>
        <rFont val="Calibri"/>
        <family val="2"/>
        <scheme val="minor"/>
      </rPr>
      <t xml:space="preserve">
2) "Net Revenue" From Unit, Discount and Price
Number Formatting From CC will follow the new Field if you use in Values area of PivotTable!!
3) An aggregate amount using RELATEDTABLE, but this line item amount will NOT be affected by PivotTable Criteria (not usually good)!!!</t>
    </r>
  </si>
  <si>
    <t>These are the "Portable Formulas" that can:
1) Be used many times in other PivotTables and other Calculated Fields.
2) Number Format only Once.
3) Understand Relationships
4) Easy to edit
5) More Functions than PivotTable.</t>
  </si>
  <si>
    <t>Calculate at the Row Level, Row-by-Row, "Row Context"</t>
  </si>
  <si>
    <t>Calculate at the Aggregate Level, "Filter Context" Applies.</t>
  </si>
  <si>
    <t>Context: Row in PowerPivot TABLE</t>
  </si>
  <si>
    <t>Context: PivotTable Cell</t>
  </si>
  <si>
    <t>Values created by CC are stored in RAM (in-memory database).
Number of unique values in column matters.</t>
  </si>
  <si>
    <t>Any values created in CF are not stored in RAM, but instead are created when you add/move a field in the PivotTable ("Proccessing Power at Query Time").
Number of unique values in column matters.</t>
  </si>
  <si>
    <t>Calcualtes when Columnar database is Refreshed, and when created.</t>
  </si>
  <si>
    <t>Calculates when PivotTable is Pivoted, and when created.</t>
  </si>
  <si>
    <t>Always use tables names and field names, except when using Calculated Fields in other Calculated Fields, then just use square brackets.</t>
  </si>
  <si>
    <t>Process: 1) Filters/Criteria from PT and formula are applied to source tables, 2) Data Model Columnar Database is Filtered, 3) Calculations is made on Filtered database.</t>
  </si>
  <si>
    <t>In a Calculated Column, CALCULATE can make Context Transition and show individual amounts or amounts calculated through a relationship rather than the actual aggregate amount.</t>
  </si>
  <si>
    <t>All Calcualted Fields are called with an automatic CALCULATE function.</t>
  </si>
  <si>
    <t xml:space="preserve"> + 0 can show a zero rather than a null when the database is filterd down to no records.</t>
  </si>
  <si>
    <t>Have to use CC:</t>
  </si>
  <si>
    <t>Have to use CF:</t>
  </si>
  <si>
    <t>When you want new Criteria/Filters for Row/Column?Filter/Slicer areas.</t>
  </si>
  <si>
    <t>When you want Portable formulas</t>
  </si>
  <si>
    <t>If values will be used in Values area of PivotTable and if there are many unique values a Calcualted Field might be better because values won't be stroed in RAM. Requires timing to be sure.</t>
  </si>
  <si>
    <t>***Use CALCULATE when you want to change  Filter Context.</t>
  </si>
  <si>
    <t>BLANK represents Empty Cell, Missing Value, Null (Database "unknown value")</t>
  </si>
  <si>
    <t>BLANK = Empty Cell, Missing Value</t>
  </si>
  <si>
    <t>BLANK &lt;&gt; Zero Length Text String</t>
  </si>
  <si>
    <t>BLANK is not an Error</t>
  </si>
  <si>
    <t>Expression</t>
  </si>
  <si>
    <t>Dax</t>
  </si>
  <si>
    <t>Excel</t>
  </si>
  <si>
    <t>BLANK + BLANK</t>
  </si>
  <si>
    <t>BLANK</t>
  </si>
  <si>
    <t>0 (zero)</t>
  </si>
  <si>
    <t>BLANK +5</t>
  </si>
  <si>
    <t>BLANK-12</t>
  </si>
  <si>
    <t>BLANK * 5</t>
  </si>
  <si>
    <t>5/BLANK</t>
  </si>
  <si>
    <t>Infinity</t>
  </si>
  <si>
    <t>Error</t>
  </si>
  <si>
    <t>0/BLANK</t>
  </si>
  <si>
    <t>NaN</t>
  </si>
  <si>
    <t>BLANK/6</t>
  </si>
  <si>
    <t>BLANK/BLANK</t>
  </si>
  <si>
    <t>FALSE OR BLANK</t>
  </si>
  <si>
    <t>FALSE AND BLANK</t>
  </si>
  <si>
    <t>TRUE OR BLANK</t>
  </si>
  <si>
    <t>TRUE AND BLANK</t>
  </si>
  <si>
    <t>BLANK OR BLANK</t>
  </si>
  <si>
    <t>BLANK AND BLANK</t>
  </si>
  <si>
    <t>Operators</t>
  </si>
  <si>
    <t>Operator</t>
  </si>
  <si>
    <t>Symbol</t>
  </si>
  <si>
    <t>Example</t>
  </si>
  <si>
    <t>Parenthesis</t>
  </si>
  <si>
    <t>Precedence order</t>
  </si>
  <si>
    <t xml:space="preserve"> ( )</t>
  </si>
  <si>
    <t>Arithmetic</t>
  </si>
  <si>
    <t>Add</t>
  </si>
  <si>
    <t xml:space="preserve"> +</t>
  </si>
  <si>
    <t>Subtract</t>
  </si>
  <si>
    <t xml:space="preserve"> -</t>
  </si>
  <si>
    <t>Multiply</t>
  </si>
  <si>
    <t xml:space="preserve"> *</t>
  </si>
  <si>
    <t>Divide</t>
  </si>
  <si>
    <t xml:space="preserve"> /</t>
  </si>
  <si>
    <t>Exponent</t>
  </si>
  <si>
    <t xml:space="preserve"> ^</t>
  </si>
  <si>
    <t>Comparative</t>
  </si>
  <si>
    <t>Equal</t>
  </si>
  <si>
    <t xml:space="preserve"> =</t>
  </si>
  <si>
    <t>Not Equal</t>
  </si>
  <si>
    <t xml:space="preserve"> &lt;&gt;</t>
  </si>
  <si>
    <t>Great than</t>
  </si>
  <si>
    <t xml:space="preserve"> &gt;</t>
  </si>
  <si>
    <t>Great than or equal to</t>
  </si>
  <si>
    <t xml:space="preserve"> &gt;=</t>
  </si>
  <si>
    <t>Less than</t>
  </si>
  <si>
    <t xml:space="preserve"> &lt;</t>
  </si>
  <si>
    <t>Less than or equal to</t>
  </si>
  <si>
    <t xml:space="preserve"> &lt;=</t>
  </si>
  <si>
    <t>Join</t>
  </si>
  <si>
    <t>Concatenation</t>
  </si>
  <si>
    <t xml:space="preserve"> &amp;</t>
  </si>
  <si>
    <t>Logical</t>
  </si>
  <si>
    <t>AND</t>
  </si>
  <si>
    <t xml:space="preserve"> &amp;&amp; or AND function</t>
  </si>
  <si>
    <t>[Product]="Quad &amp;&amp; [Quantity] &gt;20
AND([Product]="Quad , [Quantity])</t>
  </si>
  <si>
    <t>OR</t>
  </si>
  <si>
    <t xml:space="preserve"> || or OR function</t>
  </si>
  <si>
    <t>[Product]="Quad || [Quantity] &gt;20
OR([Product]="Quad , [Quantity])</t>
  </si>
  <si>
    <t xml:space="preserve"> ! Or NOT function</t>
  </si>
  <si>
    <t>! ([Product]="Quad")
NOT([Product]="Quad")</t>
  </si>
  <si>
    <t>Math</t>
  </si>
  <si>
    <t>PowerPivot Returns:</t>
  </si>
  <si>
    <t>43/0</t>
  </si>
  <si>
    <t>Infinity/Infinity</t>
  </si>
  <si>
    <t>NaN (Not a Number)</t>
  </si>
  <si>
    <t>0/0</t>
  </si>
  <si>
    <t>10/(43/0)</t>
  </si>
  <si>
    <t>**NaN will show as NaN in tables, but</t>
  </si>
  <si>
    <t>be detected as errors by Error</t>
  </si>
  <si>
    <t>detection functions (like ISERROR) and</t>
  </si>
  <si>
    <t>show as errors in PivotTAble.</t>
  </si>
  <si>
    <t>DATA TYPE IN EXCEL</t>
  </si>
  <si>
    <t>DATA TYPE IN DAX</t>
  </si>
  <si>
    <t>DESCRIPTION</t>
  </si>
  <si>
    <t>Whole Number</t>
  </si>
  <si>
    <t>A 64 bit (eight-bytes) integer value1, 2</t>
  </si>
  <si>
    <t>Numbers that have no decimal places. Integers can be positive or negative numbers, but must be whole numbers between -9,223,372,036,854,775,808 (-2^63) and 9,223,372,036,854,775,807 (2^63-1).</t>
  </si>
  <si>
    <t>Decimal Number</t>
  </si>
  <si>
    <t>A 64 bit (eight-bytes) real number1, 2</t>
  </si>
  <si>
    <t>Real numbers are numbers that can have decimal places. Real numbers cover a wide range of values:</t>
  </si>
  <si>
    <t>Negative values from -1.79E +308 through -2.23E -308</t>
  </si>
  <si>
    <t>Zero</t>
  </si>
  <si>
    <t>Positive values from 2.23E -308 through 1.79E + 308</t>
  </si>
  <si>
    <t>However, the number of significant digits is limited to 15 decimal digits.</t>
  </si>
  <si>
    <t>TRUE/FALSE</t>
  </si>
  <si>
    <t>Boolean</t>
  </si>
  <si>
    <t>Either a True or False value.</t>
  </si>
  <si>
    <t>Text</t>
  </si>
  <si>
    <t>String</t>
  </si>
  <si>
    <t>A Unicode character data string. Can be strings, numbers or dates represented in a text format.</t>
  </si>
  <si>
    <t>Maximum string length is 268,435,456 Unicode characters (256 mega characters) or 536,870,912 bytes.</t>
  </si>
  <si>
    <t>Date</t>
  </si>
  <si>
    <t>Date/time</t>
  </si>
  <si>
    <t>Dates and times in an accepted date-time representation.</t>
  </si>
  <si>
    <t>Valid dates are all dates after January 1, 1900.</t>
  </si>
  <si>
    <t>Currency</t>
  </si>
  <si>
    <t>Currency data type allows values between -922,337,203,685,477.5808 to 922,337,203,685,477.5807 with four decimal digits of fixed precision.</t>
  </si>
  <si>
    <t>N/A</t>
  </si>
  <si>
    <t>Blank</t>
  </si>
  <si>
    <t>A blank is a data type in DAX that represents and replaces SQL nulls and empty cells from Excel. You can create a blank by using the BLANK function, and test for blanks by using the logical function, ISBLANK.</t>
  </si>
  <si>
    <t>BLOB</t>
  </si>
  <si>
    <t>"binary large object"</t>
  </si>
  <si>
    <t>CALCULATE &amp; CALCULATETABLE functions</t>
  </si>
  <si>
    <t>CALCULATE and CALCULATETABLE are only function that can modify (ReplaceAndRemove or Add) the External PivotTable Filter Context. CALCULATE returns a single value, CALCULATETABLE returns a table of values.</t>
  </si>
  <si>
    <t>Filter Context = Criteria from PivotTable cell (row, column, filter, slicer) that is used to filter the underlying PowerPivot Columnar Database (Data Model) = External PivotTable Filter Context.</t>
  </si>
  <si>
    <t>Function: CALCULATE(Expression, Filter1,Filter2…)</t>
  </si>
  <si>
    <t>Expression argument is manditory. If you use only expression (no filters) it will transform existing Row Context to the equivalent Filter Context and propagate any relationship filters. Context transition happens for all active Row Contexts. "Inside CALCULATE, there is no Row Context". Examples: 1) an aggregate calculation inside CALCULATE will show just the row value not the aggregate, 2) an aggeegate calculation that has a realtion ship may show "sales for current product". Also, Calculated Fields are always called inside an automatic CALCULATE.</t>
  </si>
  <si>
    <t>As many Filters as you would like.</t>
  </si>
  <si>
    <t>More than one Filter =  AND Criteria. Logical AND. Each Filter is calculated independently and then used as AND Criteria. If the same column is used in more than one Filter argument, the intersection of values determines the filter.</t>
  </si>
  <si>
    <t>How CALCULATE works:</t>
  </si>
  <si>
    <t>External PivotTable Filter Context (filtered database) flows into CALCULATE.</t>
  </si>
  <si>
    <t>Filters can be 1) Boolean or a 2) List of Valid items (table).</t>
  </si>
  <si>
    <t>If Filter is Boolean:</t>
  </si>
  <si>
    <r>
      <t xml:space="preserve">(TRUE/FALSE) using Comparative Operators.
Can only be created on one column.
Hardcoded Values only, like: fSales[ProductName]="Quad".
Yield an array of TRUEs/FALSEs.
</t>
    </r>
    <r>
      <rPr>
        <b/>
        <sz val="11"/>
        <color theme="1"/>
        <rFont val="Calibri"/>
        <family val="2"/>
        <scheme val="minor"/>
      </rPr>
      <t>If the the columns in the Filter Argumnets are also in the External PivotTable Filter Context, those columns are ignored and replace with the new ones. This is why we get repeat values throughout PivotTable.
If the the columns in the Filter Argumnets are NOT in the External PivotTable Filter Context, the new filter is added.
If there are columns in the External PivotTable Filter Context that are not in a Filter argumnet, the criteria flows through to the final filtered database.</t>
    </r>
    <r>
      <rPr>
        <sz val="11"/>
        <color theme="1"/>
        <rFont val="Calibri"/>
        <family val="2"/>
        <scheme val="minor"/>
      </rPr>
      <t xml:space="preserve">
Can't directly compare two columns because engine does not know which column of the two columns in the copied database to replace: one, the other, both, neither?
</t>
    </r>
    <r>
      <rPr>
        <b/>
        <sz val="11"/>
        <color theme="1"/>
        <rFont val="Calibri"/>
        <family val="2"/>
        <scheme val="minor"/>
      </rPr>
      <t>Boolean can block Criteria from PivotTable from being in final filter on the database.
Blooean Blocks and Replaces.
Boolean replaces.</t>
    </r>
  </si>
  <si>
    <t>List of Valid Items in table form that serve as criteria of valid items for the new filtered column.
Can be created with functions like FILTER, ALL or other.
This table can have one or more columns.</t>
  </si>
  <si>
    <t>If Filter uses the FILTER function:</t>
  </si>
  <si>
    <r>
      <t xml:space="preserve">FILTER can be used for conditional situations where the Filter is something other than a single column compared to a hard coded value, like comparing two columns or comparing a column to a Calculated Field like fSales[Units]&gt;=MIN(dCategory[Lower]).
Returned table with all its columns replaces all these same columns in the copied database (Existing PivotTable Filter Context). Called a "Table Filter".
If you use FILTER, the Filter argument is evaluated in the context of the External PivotTable Filter Context.
FILTER allows External PivotTable Filter Context is flow in and then the additional criteria is applied.
FILTER looks at the filtered database and applies the additional filters to further filter the database. This is why cells can be null, because the set of old and new criteria filtered the database down to no records.
</t>
    </r>
    <r>
      <rPr>
        <b/>
        <sz val="11"/>
        <color theme="1"/>
        <rFont val="Calibri"/>
        <family val="2"/>
        <scheme val="minor"/>
      </rPr>
      <t>FILTER lets the PivotTable Criteria on Columns flow in, then it adds the new Criteria on the Filter Columns.
FILTER allows you to use all the Criteria together (From PivotTable and Filter argument).
FILTER uses all Criteria (From PivotTable and Filter argument) as AND Criteria.
FILTER lets external criteria flow in and then further modifies.</t>
    </r>
  </si>
  <si>
    <t>Now CALCULATE has produced the completed new filtered database, called: "New CALCULATE Filter Context"</t>
  </si>
  <si>
    <t>Now the expression is calculated against the New CALCULATE Filter Context.</t>
  </si>
  <si>
    <t>The result is returned to the PivotTable Cell.</t>
  </si>
  <si>
    <t>A Calcualted Field has an automatic CALCUALTE wrapped around it.</t>
  </si>
  <si>
    <t>CALCUALTE with no filters does a context transition: 1) this take resources, 2) if aggregate function in Calcualted Column, it will not show aggregate but individual row amount, 3) since any Calculated Field has an automatic CALCULATE wrapped around it, in a column it will do a context transition.</t>
  </si>
  <si>
    <t>Circular Dependencies:
1) Like Circular References in Excel
2) If you use CALCULATE and SUM to transition Contexts in a Calculated Column if the column you may access multiple columns from a different table; if you then create the same formula again, you will get a circular error because the new formulas sees that last formula as a new column. To fix this, use Table Properties to set a Unique Identifier, thus eliminating all the columns that are seen through the relationship.</t>
  </si>
  <si>
    <r>
      <t xml:space="preserve">If you have the choice between </t>
    </r>
    <r>
      <rPr>
        <b/>
        <sz val="11"/>
        <color theme="1"/>
        <rFont val="Calibri"/>
        <family val="2"/>
        <scheme val="minor"/>
      </rPr>
      <t>drag and drop to SUM in a Pivot (called implicit formula)</t>
    </r>
    <r>
      <rPr>
        <sz val="11"/>
        <color theme="1"/>
        <rFont val="Calibri"/>
        <family val="2"/>
        <scheme val="minor"/>
      </rPr>
      <t xml:space="preserve"> and making a </t>
    </r>
    <r>
      <rPr>
        <b/>
        <sz val="11"/>
        <color theme="1"/>
        <rFont val="Calibri"/>
        <family val="2"/>
        <scheme val="minor"/>
      </rPr>
      <t>Calculated Field with SUM function (called Explicit formula)</t>
    </r>
    <r>
      <rPr>
        <sz val="11"/>
        <color theme="1"/>
        <rFont val="Calibri"/>
        <family val="2"/>
        <scheme val="minor"/>
      </rPr>
      <t>, it is better to use Explicit because of "Portable" concept.</t>
    </r>
  </si>
  <si>
    <t>RevenueReport</t>
  </si>
  <si>
    <t>% Change Correct Net Revenue</t>
  </si>
  <si>
    <t>Freestyle</t>
  </si>
  <si>
    <t>Freestyle Total</t>
  </si>
  <si>
    <t>General</t>
  </si>
  <si>
    <t>General Total</t>
  </si>
  <si>
    <t>Month</t>
  </si>
  <si>
    <t>Jan</t>
  </si>
  <si>
    <t>Feb</t>
  </si>
  <si>
    <t>Mar</t>
  </si>
  <si>
    <t>Apr</t>
  </si>
  <si>
    <t>May</t>
  </si>
  <si>
    <t>Jun</t>
  </si>
  <si>
    <t>Jul</t>
  </si>
  <si>
    <t>Aug</t>
  </si>
  <si>
    <t>Sep</t>
  </si>
  <si>
    <t>Oct</t>
  </si>
  <si>
    <t>Nov</t>
  </si>
  <si>
    <t>Dec</t>
  </si>
  <si>
    <t>FIXED NET REVENUE 2014</t>
  </si>
  <si>
    <t>% Growth Revenue</t>
  </si>
  <si>
    <t>TNR for Bellen and Carlota</t>
  </si>
  <si>
    <t>SalesCategory</t>
  </si>
  <si>
    <t>$0 &lt;= Net Revenue &lt; $500</t>
  </si>
  <si>
    <t>$500 &lt;= Net Revenue &lt; $1,000</t>
  </si>
  <si>
    <t>$1,000 &lt;= Net Revenue &lt; $1,500</t>
  </si>
  <si>
    <t>$1,500 &lt;= Net Revenue &lt; $2,000</t>
  </si>
  <si>
    <t>$2,000 &lt;= Net Revenue &lt; $2,500</t>
  </si>
  <si>
    <t>$2,500 &lt;= Net Revenue &lt; $3,000</t>
  </si>
  <si>
    <t>$3,000 &lt;= Net Revenue &lt; $3,500</t>
  </si>
  <si>
    <t>$3,500 &lt;= Net Revenue &lt; $4,000</t>
  </si>
  <si>
    <t>TNR by SalesCatergory</t>
  </si>
  <si>
    <t>Number of SaleCategory</t>
  </si>
  <si>
    <t>Average Sales by SalesCategory</t>
  </si>
  <si>
    <t>Color</t>
  </si>
  <si>
    <t>Blue</t>
  </si>
  <si>
    <t>Green</t>
  </si>
  <si>
    <t>Red</t>
  </si>
  <si>
    <t>Bellen Total</t>
  </si>
  <si>
    <t>Florescent Blue</t>
  </si>
  <si>
    <t>Florescent Pink</t>
  </si>
  <si>
    <t>Carlota Total</t>
  </si>
  <si>
    <t>Quad Total</t>
  </si>
  <si>
    <t>BellenBlueBoolean</t>
  </si>
  <si>
    <t>BellenBlueFilter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</si>
</sst>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00"/>
    <numFmt numFmtId="165" formatCode="0.00%;\-0.00%;0.00%"/>
  </numFmts>
  <fonts count="8" x14ac:knownFonts="1">
    <font>
      <sz val="11"/>
      <color theme="1"/>
      <name val="Calibri"/>
      <family val="2"/>
      <scheme val="minor"/>
    </font>
    <font>
      <sz val="11"/>
      <color rgb="FFFF0000"/>
      <name val="Calibri"/>
      <family val="2"/>
      <scheme val="minor"/>
    </font>
    <font>
      <b/>
      <sz val="11"/>
      <color theme="1"/>
      <name val="Calibri"/>
      <family val="2"/>
      <scheme val="minor"/>
    </font>
    <font>
      <b/>
      <sz val="11"/>
      <color rgb="FFFF0000"/>
      <name val="Calibri"/>
      <family val="2"/>
      <scheme val="minor"/>
    </font>
    <font>
      <sz val="11"/>
      <color theme="0"/>
      <name val="Calibri"/>
      <family val="2"/>
      <scheme val="minor"/>
    </font>
    <font>
      <sz val="12"/>
      <color theme="0"/>
      <name val="Calibri"/>
      <family val="2"/>
      <scheme val="minor"/>
    </font>
    <font>
      <sz val="13"/>
      <name val="Calibri"/>
      <family val="2"/>
      <scheme val="minor"/>
    </font>
    <font>
      <sz val="18"/>
      <color theme="0"/>
      <name val="Calibri"/>
      <family val="2"/>
      <scheme val="minor"/>
    </font>
  </fonts>
  <fills count="6">
    <fill>
      <patternFill patternType="none"/>
    </fill>
    <fill>
      <patternFill patternType="gray125"/>
    </fill>
    <fill>
      <patternFill patternType="solid">
        <fgColor rgb="FF002060"/>
        <bgColor indexed="64"/>
      </patternFill>
    </fill>
    <fill>
      <patternFill patternType="solid">
        <fgColor rgb="FFFFFF00"/>
        <bgColor indexed="64"/>
      </patternFill>
    </fill>
    <fill>
      <patternFill patternType="solid">
        <fgColor rgb="FFFFC000"/>
        <bgColor indexed="64"/>
      </patternFill>
    </fill>
    <fill>
      <patternFill patternType="solid">
        <fgColor theme="8" tint="0.79998168889431442"/>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5">
    <xf numFmtId="0" fontId="0" fillId="0" borderId="0" xfId="0"/>
    <xf numFmtId="0" fontId="1" fillId="0" borderId="0" xfId="0" applyFont="1"/>
    <xf numFmtId="0" fontId="2" fillId="0" borderId="0" xfId="0" applyFont="1"/>
    <xf numFmtId="0" fontId="0" fillId="0" borderId="0" xfId="0" pivotButton="1"/>
    <xf numFmtId="164" fontId="0" fillId="0" borderId="0" xfId="0" applyNumberFormat="1"/>
    <xf numFmtId="0" fontId="0" fillId="0" borderId="0" xfId="0" applyFont="1"/>
    <xf numFmtId="0" fontId="0" fillId="0" borderId="0" xfId="0" applyAlignment="1">
      <alignment wrapText="1"/>
    </xf>
    <xf numFmtId="0" fontId="5" fillId="2" borderId="1" xfId="0" applyFont="1" applyFill="1" applyBorder="1"/>
    <xf numFmtId="0" fontId="0" fillId="0" borderId="1" xfId="0" applyBorder="1" applyAlignment="1">
      <alignment wrapText="1"/>
    </xf>
    <xf numFmtId="0" fontId="0" fillId="0" borderId="1" xfId="0" applyBorder="1" applyAlignment="1">
      <alignment vertical="top" wrapText="1"/>
    </xf>
    <xf numFmtId="0" fontId="2" fillId="0" borderId="1" xfId="0" applyFont="1" applyBorder="1" applyAlignment="1">
      <alignment wrapText="1"/>
    </xf>
    <xf numFmtId="0" fontId="4" fillId="2" borderId="1" xfId="0" applyFont="1" applyFill="1" applyBorder="1"/>
    <xf numFmtId="0" fontId="0" fillId="0" borderId="1" xfId="0" applyFont="1" applyFill="1" applyBorder="1"/>
    <xf numFmtId="0" fontId="0" fillId="0" borderId="1" xfId="0" applyFill="1" applyBorder="1"/>
    <xf numFmtId="0" fontId="0" fillId="0" borderId="1" xfId="0" applyFont="1" applyBorder="1"/>
    <xf numFmtId="0" fontId="0" fillId="0" borderId="1" xfId="0" applyBorder="1"/>
    <xf numFmtId="0" fontId="6" fillId="0" borderId="1" xfId="0" applyFont="1" applyFill="1" applyBorder="1"/>
    <xf numFmtId="0" fontId="6" fillId="0" borderId="0" xfId="0" applyFont="1"/>
    <xf numFmtId="0" fontId="2" fillId="3" borderId="1" xfId="0" applyFont="1" applyFill="1" applyBorder="1"/>
    <xf numFmtId="0" fontId="6" fillId="3" borderId="1" xfId="0" applyFont="1" applyFill="1" applyBorder="1"/>
    <xf numFmtId="0" fontId="0" fillId="3" borderId="1" xfId="0" applyFont="1" applyFill="1" applyBorder="1"/>
    <xf numFmtId="0" fontId="2" fillId="4" borderId="1" xfId="0" applyFont="1" applyFill="1" applyBorder="1"/>
    <xf numFmtId="0" fontId="6" fillId="4" borderId="1" xfId="0" applyFont="1" applyFill="1" applyBorder="1"/>
    <xf numFmtId="0" fontId="0" fillId="4" borderId="1" xfId="0" applyFont="1" applyFill="1" applyBorder="1"/>
    <xf numFmtId="0" fontId="2" fillId="5" borderId="1" xfId="0" applyFont="1" applyFill="1" applyBorder="1"/>
    <xf numFmtId="0" fontId="6" fillId="5" borderId="1" xfId="0" applyFont="1" applyFill="1" applyBorder="1"/>
    <xf numFmtId="0" fontId="0" fillId="5" borderId="1" xfId="0" applyFont="1" applyFill="1" applyBorder="1"/>
    <xf numFmtId="0" fontId="2" fillId="0" borderId="1" xfId="0" applyFont="1" applyBorder="1"/>
    <xf numFmtId="0" fontId="0" fillId="0" borderId="3" xfId="0" applyFill="1" applyBorder="1"/>
    <xf numFmtId="0" fontId="0" fillId="0" borderId="1" xfId="0" applyFont="1" applyBorder="1" applyAlignment="1">
      <alignment wrapText="1"/>
    </xf>
    <xf numFmtId="0" fontId="7" fillId="2" borderId="1" xfId="0" applyFont="1" applyFill="1" applyBorder="1"/>
    <xf numFmtId="0" fontId="0" fillId="0" borderId="1" xfId="0" applyFill="1" applyBorder="1" applyAlignment="1">
      <alignment wrapText="1"/>
    </xf>
    <xf numFmtId="0" fontId="0" fillId="0" borderId="0" xfId="0" applyNumberFormat="1"/>
    <xf numFmtId="165" fontId="0" fillId="0" borderId="0" xfId="0" applyNumberFormat="1"/>
    <xf numFmtId="3" fontId="0" fillId="0" borderId="0" xfId="0" applyNumberFormat="1"/>
    <xf numFmtId="0" fontId="4" fillId="2" borderId="1" xfId="0" applyFont="1" applyFill="1" applyBorder="1" applyAlignment="1">
      <alignment horizontal="center"/>
    </xf>
    <xf numFmtId="0" fontId="0" fillId="0" borderId="2" xfId="0" applyBorder="1" applyAlignment="1">
      <alignment horizontal="left" vertical="top"/>
    </xf>
    <xf numFmtId="0" fontId="0" fillId="0" borderId="3" xfId="0" applyBorder="1" applyAlignment="1">
      <alignment horizontal="left" vertical="top"/>
    </xf>
    <xf numFmtId="0" fontId="0" fillId="0" borderId="4" xfId="0" applyBorder="1" applyAlignment="1">
      <alignment horizontal="left" vertical="top"/>
    </xf>
    <xf numFmtId="0" fontId="0" fillId="0" borderId="5" xfId="0" applyFont="1" applyBorder="1" applyAlignment="1">
      <alignment horizontal="left" wrapText="1"/>
    </xf>
    <xf numFmtId="0" fontId="0" fillId="0" borderId="6" xfId="0" applyFont="1" applyBorder="1" applyAlignment="1">
      <alignment horizontal="left" wrapText="1"/>
    </xf>
    <xf numFmtId="0" fontId="0" fillId="0" borderId="7" xfId="0" applyFont="1" applyBorder="1" applyAlignment="1">
      <alignment horizontal="left" wrapText="1"/>
    </xf>
    <xf numFmtId="0" fontId="4" fillId="2" borderId="5" xfId="0" applyFont="1" applyFill="1" applyBorder="1" applyAlignment="1">
      <alignment horizontal="left" wrapText="1"/>
    </xf>
    <xf numFmtId="0" fontId="4" fillId="2" borderId="6" xfId="0" applyFont="1" applyFill="1" applyBorder="1" applyAlignment="1">
      <alignment horizontal="left" wrapText="1"/>
    </xf>
    <xf numFmtId="0" fontId="4" fillId="2" borderId="7" xfId="0" applyFont="1" applyFill="1" applyBorder="1" applyAlignment="1">
      <alignment horizontal="left"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styles" Target="styles.xml"/><Relationship Id="rId21" Type="http://schemas.openxmlformats.org/officeDocument/2006/relationships/pivotCacheDefinition" Target="pivotCache/pivotCacheDefinition8.xml"/><Relationship Id="rId42" Type="http://schemas.openxmlformats.org/officeDocument/2006/relationships/customXml" Target="../customXml/item13.xml"/><Relationship Id="rId47" Type="http://schemas.openxmlformats.org/officeDocument/2006/relationships/customXml" Target="../customXml/item18.xml"/><Relationship Id="rId63" Type="http://schemas.openxmlformats.org/officeDocument/2006/relationships/customXml" Target="../customXml/item34.xml"/><Relationship Id="rId68" Type="http://schemas.openxmlformats.org/officeDocument/2006/relationships/customXml" Target="../customXml/item39.xml"/><Relationship Id="rId84" Type="http://schemas.openxmlformats.org/officeDocument/2006/relationships/customXml" Target="../customXml/item55.xml"/><Relationship Id="rId16" Type="http://schemas.openxmlformats.org/officeDocument/2006/relationships/pivotCacheDefinition" Target="pivotCache/pivotCacheDefinition3.xml"/><Relationship Id="rId11" Type="http://schemas.openxmlformats.org/officeDocument/2006/relationships/worksheet" Target="worksheets/sheet11.xml"/><Relationship Id="rId32" Type="http://schemas.openxmlformats.org/officeDocument/2006/relationships/customXml" Target="../customXml/item3.xml"/><Relationship Id="rId37" Type="http://schemas.openxmlformats.org/officeDocument/2006/relationships/customXml" Target="../customXml/item8.xml"/><Relationship Id="rId53" Type="http://schemas.openxmlformats.org/officeDocument/2006/relationships/customXml" Target="../customXml/item24.xml"/><Relationship Id="rId58" Type="http://schemas.openxmlformats.org/officeDocument/2006/relationships/customXml" Target="../customXml/item29.xml"/><Relationship Id="rId74" Type="http://schemas.openxmlformats.org/officeDocument/2006/relationships/customXml" Target="../customXml/item45.xml"/><Relationship Id="rId79" Type="http://schemas.openxmlformats.org/officeDocument/2006/relationships/customXml" Target="../customXml/item50.xml"/><Relationship Id="rId5" Type="http://schemas.openxmlformats.org/officeDocument/2006/relationships/worksheet" Target="worksheets/sheet5.xml"/><Relationship Id="rId19" Type="http://schemas.openxmlformats.org/officeDocument/2006/relationships/pivotCacheDefinition" Target="pivotCache/pivotCacheDefinition6.xml"/><Relationship Id="rId14" Type="http://schemas.openxmlformats.org/officeDocument/2006/relationships/pivotCacheDefinition" Target="pivotCache/pivotCacheDefinition1.xml"/><Relationship Id="rId22" Type="http://schemas.openxmlformats.org/officeDocument/2006/relationships/pivotCacheDefinition" Target="pivotCache/pivotCacheDefinition9.xml"/><Relationship Id="rId27" Type="http://schemas.openxmlformats.org/officeDocument/2006/relationships/sharedStrings" Target="sharedStrings.xml"/><Relationship Id="rId30" Type="http://schemas.openxmlformats.org/officeDocument/2006/relationships/customXml" Target="../customXml/item1.xml"/><Relationship Id="rId35" Type="http://schemas.openxmlformats.org/officeDocument/2006/relationships/customXml" Target="../customXml/item6.xml"/><Relationship Id="rId43" Type="http://schemas.openxmlformats.org/officeDocument/2006/relationships/customXml" Target="../customXml/item14.xml"/><Relationship Id="rId48" Type="http://schemas.openxmlformats.org/officeDocument/2006/relationships/customXml" Target="../customXml/item19.xml"/><Relationship Id="rId56" Type="http://schemas.openxmlformats.org/officeDocument/2006/relationships/customXml" Target="../customXml/item27.xml"/><Relationship Id="rId64" Type="http://schemas.openxmlformats.org/officeDocument/2006/relationships/customXml" Target="../customXml/item35.xml"/><Relationship Id="rId69" Type="http://schemas.openxmlformats.org/officeDocument/2006/relationships/customXml" Target="../customXml/item40.xml"/><Relationship Id="rId77" Type="http://schemas.openxmlformats.org/officeDocument/2006/relationships/customXml" Target="../customXml/item48.xml"/><Relationship Id="rId8" Type="http://schemas.openxmlformats.org/officeDocument/2006/relationships/worksheet" Target="worksheets/sheet8.xml"/><Relationship Id="rId51" Type="http://schemas.openxmlformats.org/officeDocument/2006/relationships/customXml" Target="../customXml/item22.xml"/><Relationship Id="rId72" Type="http://schemas.openxmlformats.org/officeDocument/2006/relationships/customXml" Target="../customXml/item43.xml"/><Relationship Id="rId80" Type="http://schemas.openxmlformats.org/officeDocument/2006/relationships/customXml" Target="../customXml/item51.xml"/><Relationship Id="rId85" Type="http://schemas.openxmlformats.org/officeDocument/2006/relationships/customXml" Target="../customXml/item56.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4.xml"/><Relationship Id="rId25" Type="http://schemas.openxmlformats.org/officeDocument/2006/relationships/connections" Target="connections.xml"/><Relationship Id="rId33" Type="http://schemas.openxmlformats.org/officeDocument/2006/relationships/customXml" Target="../customXml/item4.xml"/><Relationship Id="rId38" Type="http://schemas.openxmlformats.org/officeDocument/2006/relationships/customXml" Target="../customXml/item9.xml"/><Relationship Id="rId46" Type="http://schemas.openxmlformats.org/officeDocument/2006/relationships/customXml" Target="../customXml/item17.xml"/><Relationship Id="rId59" Type="http://schemas.openxmlformats.org/officeDocument/2006/relationships/customXml" Target="../customXml/item30.xml"/><Relationship Id="rId67" Type="http://schemas.openxmlformats.org/officeDocument/2006/relationships/customXml" Target="../customXml/item38.xml"/><Relationship Id="rId20" Type="http://schemas.openxmlformats.org/officeDocument/2006/relationships/pivotCacheDefinition" Target="pivotCache/pivotCacheDefinition7.xml"/><Relationship Id="rId41" Type="http://schemas.openxmlformats.org/officeDocument/2006/relationships/customXml" Target="../customXml/item12.xml"/><Relationship Id="rId54" Type="http://schemas.openxmlformats.org/officeDocument/2006/relationships/customXml" Target="../customXml/item25.xml"/><Relationship Id="rId62" Type="http://schemas.openxmlformats.org/officeDocument/2006/relationships/customXml" Target="../customXml/item33.xml"/><Relationship Id="rId70" Type="http://schemas.openxmlformats.org/officeDocument/2006/relationships/customXml" Target="../customXml/item41.xml"/><Relationship Id="rId75" Type="http://schemas.openxmlformats.org/officeDocument/2006/relationships/customXml" Target="../customXml/item46.xml"/><Relationship Id="rId83" Type="http://schemas.openxmlformats.org/officeDocument/2006/relationships/customXml" Target="../customXml/item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pivotCacheDefinition" Target="pivotCache/pivotCacheDefinition2.xml"/><Relationship Id="rId23" Type="http://schemas.openxmlformats.org/officeDocument/2006/relationships/pivotCacheDefinition" Target="pivotCache/pivotCacheDefinition10.xml"/><Relationship Id="rId28" Type="http://schemas.openxmlformats.org/officeDocument/2006/relationships/powerPivotData" Target="model/item.data"/><Relationship Id="rId36" Type="http://schemas.openxmlformats.org/officeDocument/2006/relationships/customXml" Target="../customXml/item7.xml"/><Relationship Id="rId49" Type="http://schemas.openxmlformats.org/officeDocument/2006/relationships/customXml" Target="../customXml/item20.xml"/><Relationship Id="rId57" Type="http://schemas.openxmlformats.org/officeDocument/2006/relationships/customXml" Target="../customXml/item28.xml"/><Relationship Id="rId10" Type="http://schemas.openxmlformats.org/officeDocument/2006/relationships/worksheet" Target="worksheets/sheet10.xml"/><Relationship Id="rId31" Type="http://schemas.openxmlformats.org/officeDocument/2006/relationships/customXml" Target="../customXml/item2.xml"/><Relationship Id="rId44" Type="http://schemas.openxmlformats.org/officeDocument/2006/relationships/customXml" Target="../customXml/item15.xml"/><Relationship Id="rId52" Type="http://schemas.openxmlformats.org/officeDocument/2006/relationships/customXml" Target="../customXml/item23.xml"/><Relationship Id="rId60" Type="http://schemas.openxmlformats.org/officeDocument/2006/relationships/customXml" Target="../customXml/item31.xml"/><Relationship Id="rId65" Type="http://schemas.openxmlformats.org/officeDocument/2006/relationships/customXml" Target="../customXml/item36.xml"/><Relationship Id="rId73" Type="http://schemas.openxmlformats.org/officeDocument/2006/relationships/customXml" Target="../customXml/item44.xml"/><Relationship Id="rId78" Type="http://schemas.openxmlformats.org/officeDocument/2006/relationships/customXml" Target="../customXml/item49.xml"/><Relationship Id="rId81" Type="http://schemas.openxmlformats.org/officeDocument/2006/relationships/customXml" Target="../customXml/item52.xml"/><Relationship Id="rId86" Type="http://schemas.openxmlformats.org/officeDocument/2006/relationships/customXml" Target="../customXml/item57.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pivotCacheDefinition" Target="pivotCache/pivotCacheDefinition5.xml"/><Relationship Id="rId39" Type="http://schemas.openxmlformats.org/officeDocument/2006/relationships/customXml" Target="../customXml/item10.xml"/><Relationship Id="rId34" Type="http://schemas.openxmlformats.org/officeDocument/2006/relationships/customXml" Target="../customXml/item5.xml"/><Relationship Id="rId50" Type="http://schemas.openxmlformats.org/officeDocument/2006/relationships/customXml" Target="../customXml/item21.xml"/><Relationship Id="rId55" Type="http://schemas.openxmlformats.org/officeDocument/2006/relationships/customXml" Target="../customXml/item26.xml"/><Relationship Id="rId76" Type="http://schemas.openxmlformats.org/officeDocument/2006/relationships/customXml" Target="../customXml/item47.xml"/><Relationship Id="rId7" Type="http://schemas.openxmlformats.org/officeDocument/2006/relationships/worksheet" Target="worksheets/sheet7.xml"/><Relationship Id="rId71" Type="http://schemas.openxmlformats.org/officeDocument/2006/relationships/customXml" Target="../customXml/item42.xml"/><Relationship Id="rId2" Type="http://schemas.openxmlformats.org/officeDocument/2006/relationships/worksheet" Target="worksheets/sheet2.xml"/><Relationship Id="rId29" Type="http://schemas.openxmlformats.org/officeDocument/2006/relationships/calcChain" Target="calcChain.xml"/><Relationship Id="rId24" Type="http://schemas.openxmlformats.org/officeDocument/2006/relationships/theme" Target="theme/theme1.xml"/><Relationship Id="rId40" Type="http://schemas.openxmlformats.org/officeDocument/2006/relationships/customXml" Target="../customXml/item11.xml"/><Relationship Id="rId45" Type="http://schemas.openxmlformats.org/officeDocument/2006/relationships/customXml" Target="../customXml/item16.xml"/><Relationship Id="rId66" Type="http://schemas.openxmlformats.org/officeDocument/2006/relationships/customXml" Target="../customXml/item37.xml"/><Relationship Id="rId87" Type="http://schemas.openxmlformats.org/officeDocument/2006/relationships/customXml" Target="../customXml/item58.xml"/><Relationship Id="rId61" Type="http://schemas.openxmlformats.org/officeDocument/2006/relationships/customXml" Target="../customXml/item32.xml"/><Relationship Id="rId82" Type="http://schemas.openxmlformats.org/officeDocument/2006/relationships/customXml" Target="../customXml/item5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69675928" createdVersion="5" refreshedVersion="6" minRefreshableVersion="3" recordCount="0" supportSubquery="1" supportAdvancedDrill="1" xr:uid="{00000000-000A-0000-FFFF-FFFF00000000}">
  <cacheSource type="external" connectionId="3"/>
  <cacheFields count="3">
    <cacheField name="[d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dProducts].[ProductName].[ProductName]" caption="ProductName" numFmtId="0" hierarchy="12" level="1">
      <sharedItems count="3">
        <s v="Bellen"/>
        <s v="Carlota"/>
        <s v="Quad"/>
      </sharedItems>
    </cacheField>
    <cacheField name="[Measures].[Total Net Revenue]" caption="Total Net Revenue" numFmtId="0" hierarchy="28" level="32767"/>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0"/>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1"/>
      </fieldsUsage>
    </cacheHierarchy>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oneField="1">
      <fieldsUsage count="1">
        <fieldUsage x="2"/>
      </fieldsUsage>
    </cacheHierarchy>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71874999" createdVersion="5" refreshedVersion="6" minRefreshableVersion="3" recordCount="0" supportSubquery="1" supportAdvancedDrill="1" xr:uid="{C49BB7EB-3A8E-4B39-A42D-B98287F5EDCF}">
  <cacheSource type="external" connectionId="3"/>
  <cacheFields count="5">
    <cacheField name="[dProducts].[ProductName].[ProductName]" caption="ProductName" numFmtId="0" hierarchy="12" level="1">
      <sharedItems count="3">
        <s v="Bellen"/>
        <s v="Carlota"/>
        <s v="Quad"/>
      </sharedItems>
    </cacheField>
    <cacheField name="[d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Measures].[Total Net Revenue]" caption="Total Net Revenue" numFmtId="0" hierarchy="28" level="32767"/>
    <cacheField name="[Measures].[% Change Correct Net Revenue]" caption="% Change Correct Net Revenue" numFmtId="0" hierarchy="32" level="32767"/>
    <cacheField name="[dCategory].[Category].[Category]" caption="Category" numFmtId="0" hierarchy="4" level="1">
      <sharedItems count="2">
        <s v="Freestyle"/>
        <s v="General"/>
      </sharedItems>
    </cacheField>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1"/>
      </fieldsUsage>
    </cacheHierarchy>
    <cacheHierarchy uniqueName="[dCategory].[Category]" caption="Category" attribute="1" defaultMemberUniqueName="[dCategory].[Category].[All]" allUniqueName="[dCategory].[Category].[All]" dimensionUniqueName="[dCategory]" displayFolder="" count="2" memberValueDatatype="130" unbalanced="0">
      <fieldsUsage count="2">
        <fieldUsage x="-1"/>
        <fieldUsage x="4"/>
      </fieldsUsage>
    </cacheHierarchy>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0"/>
      </fieldsUsage>
    </cacheHierarchy>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oneField="1">
      <fieldsUsage count="1">
        <fieldUsage x="2"/>
      </fieldsUsage>
    </cacheHierarchy>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oneField="1">
      <fieldsUsage count="1">
        <fieldUsage x="3"/>
      </fieldsUsage>
    </cacheHierarchy>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73263892" createdVersion="5" refreshedVersion="6" minRefreshableVersion="3" recordCount="0" supportSubquery="1" supportAdvancedDrill="1" xr:uid="{549A1BC7-498D-4320-8CB2-692086193C97}">
  <cacheSource type="external" connectionId="3"/>
  <cacheFields count="5">
    <cacheField name="[dProducts].[ProductName].[ProductName]" caption="ProductName" numFmtId="0" hierarchy="12" level="1">
      <sharedItems count="3">
        <s v="Bellen"/>
        <s v="Carlota"/>
        <s v="Quad"/>
      </sharedItems>
    </cacheField>
    <cacheField name="[d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Measures].[Total Net Revenue]" caption="Total Net Revenue" numFmtId="0" hierarchy="28" level="32767"/>
    <cacheField name="[Measures].[% Change Correct Net Revenue]" caption="% Change Correct Net Revenue" numFmtId="0" hierarchy="32" level="32767"/>
    <cacheField name="[dCalendar].[Month].[Month]" caption="Month" numFmtId="0" hierarchy="1" level="1">
      <sharedItems count="12">
        <s v="Jan"/>
        <s v="Feb"/>
        <s v="Mar"/>
        <s v="Apr"/>
        <s v="May"/>
        <s v="Jun"/>
        <s v="Jul"/>
        <s v="Aug"/>
        <s v="Sep"/>
        <s v="Oct"/>
        <s v="Nov"/>
        <s v="Dec"/>
      </sharedItems>
    </cacheField>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2" memberValueDatatype="130" unbalanced="0">
      <fieldsUsage count="2">
        <fieldUsage x="-1"/>
        <fieldUsage x="4"/>
      </fieldsUsage>
    </cacheHierarchy>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1"/>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0"/>
      </fieldsUsage>
    </cacheHierarchy>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oneField="1">
      <fieldsUsage count="1">
        <fieldUsage x="2"/>
      </fieldsUsage>
    </cacheHierarchy>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oneField="1">
      <fieldsUsage count="1">
        <fieldUsage x="3"/>
      </fieldsUsage>
    </cacheHierarchy>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74537039" createdVersion="5" refreshedVersion="6" minRefreshableVersion="3" recordCount="0" supportSubquery="1" supportAdvancedDrill="1" xr:uid="{E4A73914-FA5F-4C76-8D95-E214BE5D8415}">
  <cacheSource type="external" connectionId="3"/>
  <cacheFields count="4">
    <cacheField name="[d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dProducts].[ProductName].[ProductName]" caption="ProductName" numFmtId="0" hierarchy="12" level="1">
      <sharedItems count="3">
        <s v="Bellen"/>
        <s v="Carlota"/>
        <s v="Quad"/>
      </sharedItems>
    </cacheField>
    <cacheField name="[Measures].[FIXED NET REVENUE 2014]" caption="FIXED NET REVENUE 2014" numFmtId="0" hierarchy="35" level="32767"/>
    <cacheField name="[Measures].[% Growth Revenue]" caption="% Growth Revenue" numFmtId="0" hierarchy="36" level="32767"/>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0"/>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1"/>
      </fieldsUsage>
    </cacheHierarchy>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oneField="1">
      <fieldsUsage count="1">
        <fieldUsage x="2"/>
      </fieldsUsage>
    </cacheHierarchy>
    <cacheHierarchy uniqueName="[Measures].[% Growth Revenue]" caption="% Growth Revenue" measure="1" displayFolder="" measureGroup="fSales" count="0" oneField="1">
      <fieldsUsage count="1">
        <fieldUsage x="3"/>
      </fieldsUsage>
    </cacheHierarchy>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75810186" createdVersion="5" refreshedVersion="6" minRefreshableVersion="3" recordCount="0" supportSubquery="1" supportAdvancedDrill="1" xr:uid="{9CEBC97D-2FCA-4A91-8D18-992189A3A3A9}">
  <cacheSource type="external" connectionId="3"/>
  <cacheFields count="4">
    <cacheField name="[d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dProducts].[ProductName].[ProductName]" caption="ProductName" numFmtId="0" hierarchy="12" level="1">
      <sharedItems count="3">
        <s v="Bellen"/>
        <s v="Carlota"/>
        <s v="Quad"/>
      </sharedItems>
    </cacheField>
    <cacheField name="[Measures].[Total Net Revenue]" caption="Total Net Revenue" numFmtId="0" hierarchy="28" level="32767"/>
    <cacheField name="[Measures].[% of Grand Total]" caption="% of Grand Total" numFmtId="0" hierarchy="34" level="32767"/>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0"/>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1"/>
      </fieldsUsage>
    </cacheHierarchy>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oneField="1">
      <fieldsUsage count="1">
        <fieldUsage x="2"/>
      </fieldsUsage>
    </cacheHierarchy>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cacheHierarchy uniqueName="[Measures].[Grand Total]" caption="Grand Total" measure="1" displayFolder="" measureGroup="fSales" count="0"/>
    <cacheHierarchy uniqueName="[Measures].[% of Grand Total]" caption="% of Grand Total" measure="1" displayFolder="" measureGroup="fSales" count="0" oneField="1">
      <fieldsUsage count="1">
        <fieldUsage x="3"/>
      </fieldsUsage>
    </cacheHierarchy>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77314817" createdVersion="5" refreshedVersion="6" minRefreshableVersion="3" recordCount="0" supportSubquery="1" supportAdvancedDrill="1" xr:uid="{ECD9314D-C1B6-4159-B59C-DAE981B0D62D}">
  <cacheSource type="external" connectionId="3"/>
  <cacheFields count="3">
    <cacheField name="[Measures].[TNR for Bellen and Carlota]" caption="TNR for Bellen and Carlota" numFmtId="0" hierarchy="37" level="32767"/>
    <cacheField name="[d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dCalendar].[Month].[Month]" caption="Month" numFmtId="0" hierarchy="1" level="1">
      <sharedItems count="12">
        <s v="Jan"/>
        <s v="Feb"/>
        <s v="Mar"/>
        <s v="Apr"/>
        <s v="May"/>
        <s v="Jun"/>
        <s v="Jul"/>
        <s v="Aug"/>
        <s v="Sep"/>
        <s v="Oct"/>
        <s v="Nov"/>
        <s v="Dec"/>
      </sharedItems>
    </cacheField>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2" memberValueDatatype="130" unbalanced="0">
      <fieldsUsage count="2">
        <fieldUsage x="-1"/>
        <fieldUsage x="2"/>
      </fieldsUsage>
    </cacheHierarchy>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1"/>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0" memberValueDatatype="130" unbalanced="0"/>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oneField="1">
      <fieldsUsage count="1">
        <fieldUsage x="0"/>
      </fieldsUsage>
    </cacheHierarchy>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80787035" createdVersion="5" refreshedVersion="6" minRefreshableVersion="3" recordCount="0" supportSubquery="1" supportAdvancedDrill="1" xr:uid="{B8BE6F9E-48A2-484F-A046-01E98E9B1B76}">
  <cacheSource type="external" connectionId="3"/>
  <cacheFields count="4">
    <cacheField name="[DisSalesCategories].[SalesCategory].[SalesCategory]" caption="SalesCategory" numFmtId="0" hierarchy="7" level="1">
      <sharedItems count="8">
        <s v="$0 &lt;= Net Revenue &lt; $500"/>
        <s v="$500 &lt;= Net Revenue &lt; $1,000"/>
        <s v="$1,000 &lt;= Net Revenue &lt; $1,500"/>
        <s v="$1,500 &lt;= Net Revenue &lt; $2,000"/>
        <s v="$2,000 &lt;= Net Revenue &lt; $2,500"/>
        <s v="$2,500 &lt;= Net Revenue &lt; $3,000"/>
        <s v="$3,000 &lt;= Net Revenue &lt; $3,500"/>
        <s v="$3,500 &lt;= Net Revenue &lt; $4,000"/>
      </sharedItems>
    </cacheField>
    <cacheField name="[Measures].[TNR by SalesCatergory]" caption="TNR by SalesCatergory" numFmtId="0" hierarchy="40" level="32767"/>
    <cacheField name="[Measures].[Number of SaleCategory]" caption="Number of SaleCategory" numFmtId="0" hierarchy="41" level="32767"/>
    <cacheField name="[Measures].[Average Sales by SalesCategory]" caption="Average Sales by SalesCategory" numFmtId="0" hierarchy="42" level="32767"/>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2" memberValueDatatype="130" unbalanced="0">
      <fieldsUsage count="2">
        <fieldUsage x="-1"/>
        <fieldUsage x="0"/>
      </fieldsUsage>
    </cacheHierarchy>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0" memberValueDatatype="130" unbalanced="0"/>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oneField="1">
      <fieldsUsage count="1">
        <fieldUsage x="1"/>
      </fieldsUsage>
    </cacheHierarchy>
    <cacheHierarchy uniqueName="[Measures].[Number of SaleCategory]" caption="Number of SaleCategory" measure="1" displayFolder="" measureGroup="fSales" count="0" oneField="1">
      <fieldsUsage count="1">
        <fieldUsage x="2"/>
      </fieldsUsage>
    </cacheHierarchy>
    <cacheHierarchy uniqueName="[Measures].[Average Sales by SalesCategory]" caption="Average Sales by SalesCategory" measure="1" displayFolder="" measureGroup="fSales" count="0" oneField="1">
      <fieldsUsage count="1">
        <fieldUsage x="3"/>
      </fieldsUsage>
    </cacheHierarchy>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8781828705" createdVersion="5" refreshedVersion="6" minRefreshableVersion="3" recordCount="0" supportSubquery="1" supportAdvancedDrill="1" xr:uid="{CEF59759-D386-43B8-91DE-E2CC102D8E87}">
  <cacheSource type="external" connectionId="3"/>
  <cacheFields count="4">
    <cacheField name="[DisSalesCategories].[SalesCategory].[SalesCategory]" caption="SalesCategory" numFmtId="0" hierarchy="7" level="1">
      <sharedItems count="8">
        <s v="$0 &lt;= Net Revenue &lt; $500"/>
        <s v="$500 &lt;= Net Revenue &lt; $1,000"/>
        <s v="$1,000 &lt;= Net Revenue &lt; $1,500"/>
        <s v="$1,500 &lt;= Net Revenue &lt; $2,000"/>
        <s v="$2,000 &lt;= Net Revenue &lt; $2,500"/>
        <s v="$2,500 &lt;= Net Revenue &lt; $3,000"/>
        <s v="$3,000 &lt;= Net Revenue &lt; $3,500"/>
        <s v="$3,500 &lt;= Net Revenue &lt; $4,000"/>
      </sharedItems>
    </cacheField>
    <cacheField name="[Measures].[Total Net Revenue]" caption="Total Net Revenue" numFmtId="0" hierarchy="28" level="32767"/>
    <cacheField name="[Measures].[Number of SaleCategory]" caption="Number of SaleCategory" numFmtId="0" hierarchy="41" level="32767"/>
    <cacheField name="[Measures].[Average Sales by SalesCategory]" caption="Average Sales by SalesCategory" numFmtId="0" hierarchy="42" level="32767"/>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2" memberValueDatatype="130" unbalanced="0">
      <fieldsUsage count="2">
        <fieldUsage x="-1"/>
        <fieldUsage x="0"/>
      </fieldsUsage>
    </cacheHierarchy>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0" memberValueDatatype="130" unbalanced="0"/>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oneField="1">
      <fieldsUsage count="1">
        <fieldUsage x="1"/>
      </fieldsUsage>
    </cacheHierarchy>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oneField="1">
      <fieldsUsage count="1">
        <fieldUsage x="2"/>
      </fieldsUsage>
    </cacheHierarchy>
    <cacheHierarchy uniqueName="[Measures].[Average Sales by SalesCategory]" caption="Average Sales by SalesCategory" measure="1" displayFolder="" measureGroup="fSales" count="0" oneField="1">
      <fieldsUsage count="1">
        <fieldUsage x="3"/>
      </fieldsUsage>
    </cacheHierarchy>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59266203704" createdVersion="5" refreshedVersion="6" minRefreshableVersion="3" recordCount="0" supportSubquery="1" supportAdvancedDrill="1" xr:uid="{F4799639-F07B-44B2-B123-1DE6E6A0493C}">
  <cacheSource type="external" connectionId="3"/>
  <cacheFields count="5">
    <cacheField name="[dProducts].[ProductName].[ProductName]" caption="ProductName" numFmtId="0" hierarchy="12" level="1">
      <sharedItems count="3">
        <s v="Bellen"/>
        <s v="Carlota"/>
        <s v="Quad"/>
      </sharedItems>
    </cacheField>
    <cacheField name="[dProducts].[Color].[Color]" caption="Color" numFmtId="0" hierarchy="10" level="1">
      <sharedItems count="5">
        <s v="Blue"/>
        <s v="Green"/>
        <s v="Red"/>
        <s v="Florescent Blue"/>
        <s v="Florescent Pink"/>
      </sharedItems>
    </cacheField>
    <cacheField name="[Measures].[Total Net Revenue]" caption="Total Net Revenue" numFmtId="0" hierarchy="28" level="32767"/>
    <cacheField name="[Measures].[BellenBlueBoolean]" caption="BellenBlueBoolean" numFmtId="0" hierarchy="43" level="32767"/>
    <cacheField name="[Measures].[BellenBlueFilter]" caption="BellenBlueFilter" numFmtId="0" hierarchy="44" level="32767"/>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0" memberValueDatatype="20" unbalanced="0"/>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2" memberValueDatatype="130" unbalanced="0">
      <fieldsUsage count="2">
        <fieldUsage x="-1"/>
        <fieldUsage x="1"/>
      </fieldsUsage>
    </cacheHierarchy>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0"/>
      </fieldsUsage>
    </cacheHierarchy>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oneField="1">
      <fieldsUsage count="1">
        <fieldUsage x="2"/>
      </fieldsUsage>
    </cacheHierarchy>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oneField="1">
      <fieldsUsage count="1">
        <fieldUsage x="3"/>
      </fieldsUsage>
    </cacheHierarchy>
    <cacheHierarchy uniqueName="[Measures].[BellenBlueFilter]" caption="BellenBlueFilter" measure="1" displayFolder="" measureGroup="fSales" count="0" oneField="1">
      <fieldsUsage count="1">
        <fieldUsage x="4"/>
      </fieldsUsage>
    </cacheHierarchy>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uthor" refreshedDate="43372.861331481479" createdVersion="5" refreshedVersion="6" minRefreshableVersion="3" recordCount="0" supportSubquery="1" supportAdvancedDrill="1" xr:uid="{8C6E4A70-5BC2-40E2-996E-5C96432701E3}">
  <cacheSource type="external" connectionId="3"/>
  <cacheFields count="4">
    <cacheField name="[dProducts].[ProductName].[ProductName]" caption="ProductName" numFmtId="0" hierarchy="12" level="1">
      <sharedItems count="3">
        <s v="Bellen"/>
        <s v="Carlota"/>
        <s v="Quad"/>
      </sharedItems>
    </cacheField>
    <cacheField name="[dCalendar].[Year].[Year]" caption="Year" numFmtId="0" hierarchy="3" level="1">
      <sharedItems containsSemiMixedTypes="0" containsString="0" containsNumber="1" containsInteger="1" minValue="2014" maxValue="2017" count="4">
        <n v="2014"/>
        <n v="2015"/>
        <n v="2016"/>
        <n v="2017"/>
      </sharedItems>
      <extLst>
        <ext xmlns:x15="http://schemas.microsoft.com/office/spreadsheetml/2010/11/main" uri="{4F2E5C28-24EA-4eb8-9CBF-B6C8F9C3D259}">
          <x15:cachedUniqueNames>
            <x15:cachedUniqueName index="0" name="[dCalendar].[Year].&amp;[2014]"/>
            <x15:cachedUniqueName index="1" name="[dCalendar].[Year].&amp;[2015]"/>
            <x15:cachedUniqueName index="2" name="[dCalendar].[Year].&amp;[2016]"/>
            <x15:cachedUniqueName index="3" name="[dCalendar].[Year].&amp;[2017]"/>
          </x15:cachedUniqueNames>
        </ext>
      </extLst>
    </cacheField>
    <cacheField name="[Measures].[Total Net Revenue]" caption="Total Net Revenue" numFmtId="0" hierarchy="28" level="32767"/>
    <cacheField name="[Measures].[% Change Correct Net Revenue]" caption="% Change Correct Net Revenue" numFmtId="0" hierarchy="32" level="32767"/>
  </cacheFields>
  <cacheHierarchies count="52">
    <cacheHierarchy uniqueName="[dCalendar].[Dates]" caption="Dates" attribute="1" time="1" defaultMemberUniqueName="[dCalendar].[Dates].[All]" allUniqueName="[dCalendar].[Dates].[All]" dimensionUniqueName="[dCalendar]" displayFolder="" count="0" memberValueDatatype="7" unbalanced="0"/>
    <cacheHierarchy uniqueName="[dCalendar].[Month]" caption="Month" attribute="1" defaultMemberUniqueName="[dCalendar].[Month].[All]" allUniqueName="[dCalendar].[Month].[All]" dimensionUniqueName="[dCalendar]" displayFolder="" count="0" memberValueDatatype="130" unbalanced="0"/>
    <cacheHierarchy uniqueName="[dCalendar].[MonthNumber]" caption="MonthNumber" attribute="1" defaultMemberUniqueName="[dCalendar].[MonthNumber].[All]" allUniqueName="[dCalendar].[MonthNumber].[All]" dimensionUniqueName="[dCalendar]" displayFolder="" count="0" memberValueDatatype="20" unbalanced="0"/>
    <cacheHierarchy uniqueName="[dCalendar].[Year]" caption="Year" attribute="1" defaultMemberUniqueName="[dCalendar].[Year].[All]" allUniqueName="[dCalendar].[Year].[All]" dimensionUniqueName="[dCalendar]" displayFolder="" count="2" memberValueDatatype="20" unbalanced="0">
      <fieldsUsage count="2">
        <fieldUsage x="-1"/>
        <fieldUsage x="1"/>
      </fieldsUsage>
    </cacheHierarchy>
    <cacheHierarchy uniqueName="[dCategory].[Category]" caption="Category" attribute="1" defaultMemberUniqueName="[dCategory].[Category].[All]" allUniqueName="[dCategory].[Category].[All]" dimensionUniqueName="[dCategory]" displayFolder="" count="0" memberValueDatatype="130" unbalanced="0"/>
    <cacheHierarchy uniqueName="[dCategory].[CategoryKey]" caption="CategoryKey" attribute="1" defaultMemberUniqueName="[dCategory].[CategoryKey].[All]" allUniqueName="[dCategory].[CategoryKey].[All]" dimensionUniqueName="[dCategory]" displayFolder="" count="0" memberValueDatatype="5" unbalanced="0"/>
    <cacheHierarchy uniqueName="[DisSalesCategories].[Lower]" caption="Lower" attribute="1" defaultMemberUniqueName="[DisSalesCategories].[Lower].[All]" allUniqueName="[DisSalesCategories].[Lower].[All]" dimensionUniqueName="[DisSalesCategories]" displayFolder="" count="0" memberValueDatatype="5" unbalanced="0"/>
    <cacheHierarchy uniqueName="[DisSalesCategories].[SalesCategory]" caption="SalesCategory" attribute="1" defaultMemberUniqueName="[DisSalesCategories].[SalesCategory].[All]" allUniqueName="[DisSalesCategories].[SalesCategory].[All]" dimensionUniqueName="[DisSalesCategories]" displayFolder="" count="0" memberValueDatatype="130" unbalanced="0"/>
    <cacheHierarchy uniqueName="[DisSalesCategories].[Upper]" caption="Upper" attribute="1" defaultMemberUniqueName="[DisSalesCategories].[Upper].[All]" allUniqueName="[DisSalesCategories].[Upper].[All]" dimensionUniqueName="[DisSalesCategories]" displayFolder="" count="0" memberValueDatatype="5" unbalanced="0"/>
    <cacheHierarchy uniqueName="[dProducts].[CategoryKey]" caption="CategoryKey" attribute="1" defaultMemberUniqueName="[dProducts].[CategoryKey].[All]" allUniqueName="[dProducts].[CategoryKey].[All]" dimensionUniqueName="[dProducts]" displayFolder="" count="0" memberValueDatatype="5" unbalanced="0"/>
    <cacheHierarchy uniqueName="[dProducts].[Color]" caption="Color" attribute="1" defaultMemberUniqueName="[dProducts].[Color].[All]" allUniqueName="[dProducts].[Color].[All]" dimensionUniqueName="[dProducts]" displayFolder="" count="0" memberValueDatatype="130" unbalanced="0"/>
    <cacheHierarchy uniqueName="[dProducts].[ProductID]" caption="ProductID" attribute="1" defaultMemberUniqueName="[dProducts].[ProductID].[All]" allUniqueName="[dProducts].[ProductID].[All]" dimensionUniqueName="[dProducts]" displayFolder="" count="0" memberValueDatatype="5" unbalanced="0"/>
    <cacheHierarchy uniqueName="[dProducts].[ProductName]" caption="ProductName" attribute="1" defaultMemberUniqueName="[dProducts].[ProductName].[All]" allUniqueName="[dProducts].[ProductName].[All]" dimensionUniqueName="[dProducts]" displayFolder="" count="2" memberValueDatatype="130" unbalanced="0">
      <fieldsUsage count="2">
        <fieldUsage x="-1"/>
        <fieldUsage x="0"/>
      </fieldsUsage>
    </cacheHierarchy>
    <cacheHierarchy uniqueName="[dProducts].[RetailPrice]" caption="RetailPrice" attribute="1" defaultMemberUniqueName="[dProducts].[RetailPrice].[All]" allUniqueName="[dProducts].[RetailPrice].[All]" dimensionUniqueName="[dProducts]" displayFolder="" count="0" memberValueDatatype="6" unbalanced="0"/>
    <cacheHierarchy uniqueName="[dProducts].[StandardCost]" caption="StandardCost" attribute="1" defaultMemberUniqueName="[dProducts].[StandardCost].[All]" allUniqueName="[dProducts].[StandardCost].[All]" dimensionUniqueName="[dProducts]" displayFolder="" count="0" memberValueDatatype="6" unbalanced="0"/>
    <cacheHierarchy uniqueName="[fSales].[Lower Limited For Sales]" caption="Lower Limited For Sales" attribute="1" defaultMemberUniqueName="[fSales].[Lower Limited For Sales].[All]" allUniqueName="[fSales].[Lower Limited For Sales].[All]" dimensionUniqueName="[fSales]" displayFolder="" count="0" memberValueDatatype="5" unbalanced="0"/>
    <cacheHierarchy uniqueName="[fSales].[Net Revenue]" caption="Net Revenue" attribute="1" defaultMemberUniqueName="[fSales].[Net Revenue].[All]" allUniqueName="[fSales].[Net Revenue].[All]" dimensionUniqueName="[fSales]" displayFolder="" count="0" memberValueDatatype="6" unbalanced="0"/>
    <cacheHierarchy uniqueName="[fSales].[PercentOfStandardCost]" caption="PercentOfStandardCost" attribute="1" defaultMemberUniqueName="[fSales].[PercentOfStandardCost].[All]" allUniqueName="[fSales].[PercentOfStandardCost].[All]" dimensionUniqueName="[fSales]" displayFolder="" count="0" memberValueDatatype="5" unbalanced="0"/>
    <cacheHierarchy uniqueName="[fSales].[Date]" caption="Date" attribute="1" time="1" defaultMemberUniqueName="[fSales].[Date].[All]" allUniqueName="[fSales].[Date].[All]" dimensionUniqueName="[fSales]" displayFolder="" count="0" memberValueDatatype="7" unbalanced="0" hidden="1"/>
    <cacheHierarchy uniqueName="[fSales].[ProductID]" caption="ProductID" attribute="1" defaultMemberUniqueName="[fSales].[ProductID].[All]" allUniqueName="[fSales].[ProductID].[All]" dimensionUniqueName="[fSales]" displayFolder="" count="0" memberValueDatatype="5" unbalanced="0" hidden="1"/>
    <cacheHierarchy uniqueName="[fSales].[RevenueDiscount]" caption="RevenueDiscount" attribute="1" defaultMemberUniqueName="[fSales].[RevenueDiscount].[All]" allUniqueName="[fSales].[RevenueDiscount].[All]" dimensionUniqueName="[fSales]" displayFolder="" count="0" memberValueDatatype="5" unbalanced="0" hidden="1"/>
    <cacheHierarchy uniqueName="[fSales].[SalesRepID]" caption="SalesRepID" attribute="1" defaultMemberUniqueName="[fSales].[SalesRepID].[All]" allUniqueName="[fSales].[SalesRepID].[All]" dimensionUniqueName="[fSales]" displayFolder="" count="0" memberValueDatatype="5" unbalanced="0" hidden="1"/>
    <cacheHierarchy uniqueName="[fSales].[Units]" caption="Units" attribute="1" defaultMemberUniqueName="[fSales].[Units].[All]" allUniqueName="[fSales].[Units].[All]" dimensionUniqueName="[fSales]" displayFolder="" count="0" memberValueDatatype="5" unbalanced="0" hidden="1"/>
    <cacheHierarchy uniqueName="[Measures].[Sum of Lower]" caption="Sum of Lower" measure="1" displayFolder="" measureGroup="DisSalesCategories" count="0">
      <extLst>
        <ext xmlns:x15="http://schemas.microsoft.com/office/spreadsheetml/2010/11/main" uri="{B97F6D7D-B522-45F9-BDA1-12C45D357490}">
          <x15:cacheHierarchy aggregatedColumn="6"/>
        </ext>
      </extLst>
    </cacheHierarchy>
    <cacheHierarchy uniqueName="[Measures].[Sum of Upper]" caption="Sum of Upper" measure="1" displayFolder="" measureGroup="DisSalesCategories" count="0">
      <extLst>
        <ext xmlns:x15="http://schemas.microsoft.com/office/spreadsheetml/2010/11/main" uri="{B97F6D7D-B522-45F9-BDA1-12C45D357490}">
          <x15:cacheHierarchy aggregatedColumn="8"/>
        </ext>
      </extLst>
    </cacheHierarchy>
    <cacheHierarchy uniqueName="[Measures].[Sum of Net Revenue]" caption="Sum of Net Revenue" measure="1" displayFolder="" measureGroup="fSales" count="0">
      <extLst>
        <ext xmlns:x15="http://schemas.microsoft.com/office/spreadsheetml/2010/11/main" uri="{B97F6D7D-B522-45F9-BDA1-12C45D357490}">
          <x15:cacheHierarchy aggregatedColumn="16"/>
        </ext>
      </extLst>
    </cacheHierarchy>
    <cacheHierarchy uniqueName="[Measures].[Sum of Year]" caption="Sum of Year" measure="1" displayFolder="" measureGroup="dCalendar" count="0">
      <extLst>
        <ext xmlns:x15="http://schemas.microsoft.com/office/spreadsheetml/2010/11/main" uri="{B97F6D7D-B522-45F9-BDA1-12C45D357490}">
          <x15:cacheHierarchy aggregatedColumn="3"/>
        </ext>
      </extLst>
    </cacheHierarchy>
    <cacheHierarchy uniqueName="[Measures].[Count of SalesCategory]" caption="Count of SalesCategory" measure="1" displayFolder="" measureGroup="DisSalesCategories" count="0">
      <extLst>
        <ext xmlns:x15="http://schemas.microsoft.com/office/spreadsheetml/2010/11/main" uri="{B97F6D7D-B522-45F9-BDA1-12C45D357490}">
          <x15:cacheHierarchy aggregatedColumn="7"/>
        </ext>
      </extLst>
    </cacheHierarchy>
    <cacheHierarchy uniqueName="[Measures].[Total Net Revenue]" caption="Total Net Revenue" measure="1" displayFolder="" measureGroup="fSales" count="0" oneField="1">
      <fieldsUsage count="1">
        <fieldUsage x="2"/>
      </fieldsUsage>
    </cacheHierarchy>
    <cacheHierarchy uniqueName="[Measures].[Total Net Revenue Last Year]" caption="Total Net Revenue Last Year" measure="1" displayFolder="" measureGroup="fSales" count="0"/>
    <cacheHierarchy uniqueName="[Measures].[% Change Net Revenue]" caption="% Change Net Revenue" measure="1" displayFolder="" measureGroup="fSales" count="0"/>
    <cacheHierarchy uniqueName="[Measures].[ISYEARFILTERED]" caption="ISYEARFILTERED" measure="1" displayFolder="" measureGroup="fSales" count="0"/>
    <cacheHierarchy uniqueName="[Measures].[% Change Correct Net Revenue]" caption="% Change Correct Net Revenue" measure="1" displayFolder="" measureGroup="fSales" count="0" oneField="1">
      <fieldsUsage count="1">
        <fieldUsage x="3"/>
      </fieldsUsage>
    </cacheHierarchy>
    <cacheHierarchy uniqueName="[Measures].[Grand Total]" caption="Grand Total" measure="1" displayFolder="" measureGroup="fSales" count="0"/>
    <cacheHierarchy uniqueName="[Measures].[% of Grand Total]" caption="% of Grand Total" measure="1" displayFolder="" measureGroup="fSales" count="0"/>
    <cacheHierarchy uniqueName="[Measures].[FIXED NET REVENUE 2014]" caption="FIXED NET REVENUE 2014" measure="1" displayFolder="" measureGroup="fSales" count="0"/>
    <cacheHierarchy uniqueName="[Measures].[% Growth Revenue]" caption="% Growth Revenue" measure="1" displayFolder="" measureGroup="fSales" count="0"/>
    <cacheHierarchy uniqueName="[Measures].[TNR for Bellen and Carlota]" caption="TNR for Bellen and Carlota" measure="1" displayFolder="" measureGroup="fSales" count="0"/>
    <cacheHierarchy uniqueName="[Measures].[Min of Lower]" caption="Min of Lower" measure="1" displayFolder="" measureGroup="fSales" count="0"/>
    <cacheHierarchy uniqueName="[Measures].[Max of Upper]" caption="Max of Upper" measure="1" displayFolder="" measureGroup="fSales" count="0"/>
    <cacheHierarchy uniqueName="[Measures].[TNR by SalesCatergory]" caption="TNR by SalesCatergory" measure="1" displayFolder="" measureGroup="fSales" count="0"/>
    <cacheHierarchy uniqueName="[Measures].[Number of SaleCategory]" caption="Number of SaleCategory" measure="1" displayFolder="" measureGroup="fSales" count="0"/>
    <cacheHierarchy uniqueName="[Measures].[Average Sales by SalesCategory]" caption="Average Sales by SalesCategory" measure="1" displayFolder="" measureGroup="fSales" count="0"/>
    <cacheHierarchy uniqueName="[Measures].[BellenBlueBoolean]" caption="BellenBlueBoolean" measure="1" displayFolder="" measureGroup="fSales" count="0"/>
    <cacheHierarchy uniqueName="[Measures].[BellenBlueFilter]" caption="BellenBlueFilter" measure="1" displayFolder="" measureGroup="fSales" count="0"/>
    <cacheHierarchy uniqueName="[Measures].[_Count dCategory]" caption="_Count dCategory" measure="1" displayFolder="" measureGroup="dCategory" count="0" hidden="1"/>
    <cacheHierarchy uniqueName="[Measures].[_Count dProducts]" caption="_Count dProducts" measure="1" displayFolder="" measureGroup="dProducts" count="0" hidden="1"/>
    <cacheHierarchy uniqueName="[Measures].[_Count fSales]" caption="_Count fSales" measure="1" displayFolder="" measureGroup="fSales" count="0" hidden="1"/>
    <cacheHierarchy uniqueName="[Measures].[_Count dCalendar]" caption="_Count dCalendar" measure="1" displayFolder="" measureGroup="dCalendar" count="0" hidden="1"/>
    <cacheHierarchy uniqueName="[Measures].[_Count DisSalesCategories]" caption="_Count DisSalesCategories" measure="1" displayFolder="" measureGroup="DisSalesCategories" count="0" hidden="1"/>
    <cacheHierarchy uniqueName="[Measures].[__XL_Count of Models]" caption="__XL_Count of Models" measure="1" displayFolder="" count="0" hidden="1"/>
    <cacheHierarchy uniqueName="[Measures].[Test Max For Net Revenue]" caption="Test Max For Net Revenue" measure="1" displayFolder="" measureGroup="fSales" count="0" hidden="1"/>
  </cacheHierarchies>
  <kpis count="0"/>
  <dimensions count="6">
    <dimension name="dCalendar" uniqueName="[dCalendar]" caption="dCalendar"/>
    <dimension name="dCategory" uniqueName="[dCategory]" caption="dCategory"/>
    <dimension name="DisSalesCategories" uniqueName="[DisSalesCategories]" caption="DisSalesCategories"/>
    <dimension name="dProducts" uniqueName="[dProducts]" caption="dProducts"/>
    <dimension name="fSales" uniqueName="[fSales]" caption="fSales"/>
    <dimension measure="1" name="Measures" uniqueName="[Measures]" caption="Measures"/>
  </dimensions>
  <measureGroups count="5">
    <measureGroup name="dCalendar" caption="dCalendar"/>
    <measureGroup name="dCategory" caption="dCategory"/>
    <measureGroup name="DisSalesCategories" caption="DisSalesCategories"/>
    <measureGroup name="dProducts" caption="dProducts"/>
    <measureGroup name="fSales" caption="fSales"/>
  </measureGroups>
  <maps count="10">
    <map measureGroup="0" dimension="0"/>
    <map measureGroup="1" dimension="1"/>
    <map measureGroup="2" dimension="2"/>
    <map measureGroup="3" dimension="1"/>
    <map measureGroup="3" dimension="3"/>
    <map measureGroup="4" dimension="0"/>
    <map measureGroup="4" dimension="1"/>
    <map measureGroup="4" dimension="2"/>
    <map measureGroup="4" dimension="3"/>
    <map measureGroup="4"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542C75A-92BC-469C-9333-E092779F6852}" name="PivotTable1" cacheId="79" applyNumberFormats="0" applyBorderFormats="0" applyFontFormats="0" applyPatternFormats="0" applyAlignmentFormats="0" applyWidthHeightFormats="1" dataCaption="Values" tag="a3f25d40-2e25-4052-a730-951cc03cc7fa" updatedVersion="6" minRefreshableVersion="3" useAutoFormatting="1" itemPrintTitles="1" createdVersion="5" indent="0" compact="0" compactData="0" multipleFieldFilters="0">
  <location ref="B3:F18" firstHeaderRow="0" firstDataRow="1" firstDataCol="2"/>
  <pivotFields count="5">
    <pivotField axis="axisRow" compact="0" allDrilled="1" outline="0" subtotalTop="0" showAll="0" dataSourceSort="1" defaultAttributeDrillState="1">
      <items count="4">
        <item x="0"/>
        <item x="1"/>
        <item x="2"/>
        <item t="default"/>
      </items>
    </pivotField>
    <pivotField axis="axisRow" compact="0" allDrilled="1" outline="0" subtotalTop="0" showAll="0" dataSourceSort="1" defaultAttributeDrillState="1">
      <items count="6">
        <item x="0"/>
        <item x="1"/>
        <item x="2"/>
        <item x="3"/>
        <item x="4"/>
        <item t="default"/>
      </items>
    </pivotField>
    <pivotField dataField="1" compact="0" outline="0" subtotalTop="0" showAll="0"/>
    <pivotField dataField="1" compact="0" outline="0" subtotalTop="0" showAll="0"/>
    <pivotField dataField="1" compact="0" outline="0" subtotalTop="0" showAll="0"/>
  </pivotFields>
  <rowFields count="2">
    <field x="0"/>
    <field x="1"/>
  </rowFields>
  <rowItems count="15">
    <i>
      <x/>
      <x/>
    </i>
    <i r="1">
      <x v="1"/>
    </i>
    <i r="1">
      <x v="2"/>
    </i>
    <i t="default">
      <x/>
    </i>
    <i>
      <x v="1"/>
      <x/>
    </i>
    <i r="1">
      <x v="3"/>
    </i>
    <i r="1">
      <x v="4"/>
    </i>
    <i r="1">
      <x v="1"/>
    </i>
    <i r="1">
      <x v="2"/>
    </i>
    <i t="default">
      <x v="1"/>
    </i>
    <i>
      <x v="2"/>
      <x/>
    </i>
    <i r="1">
      <x v="1"/>
    </i>
    <i r="1">
      <x v="2"/>
    </i>
    <i t="default">
      <x v="2"/>
    </i>
    <i t="grand">
      <x/>
    </i>
  </rowItems>
  <colFields count="1">
    <field x="-2"/>
  </colFields>
  <colItems count="3">
    <i>
      <x/>
    </i>
    <i i="1">
      <x v="1"/>
    </i>
    <i i="2">
      <x v="2"/>
    </i>
  </colItems>
  <dataFields count="3">
    <dataField fld="2" subtotal="count" baseField="0" baseItem="0"/>
    <dataField fld="3" subtotal="count" baseField="0" baseItem="0"/>
    <dataField fld="4"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2"/>
    <rowHierarchyUsage hierarchyUsage="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fSales]"/>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1E5F131-D1D9-4582-BB33-2D120F6B577D}" name="PivotTable3" cacheId="62" applyNumberFormats="0" applyBorderFormats="0" applyFontFormats="0" applyPatternFormats="0" applyAlignmentFormats="0" applyWidthHeightFormats="1" dataCaption="Values" tag="20eee48f-03c7-4a95-86f7-25ac36ed9f95" updatedVersion="6" minRefreshableVersion="3" useAutoFormatting="1" itemPrintTitles="1" createdVersion="5" indent="0" compact="0" compactData="0" multipleFieldFilters="0">
  <location ref="B3:E12" firstHeaderRow="0" firstDataRow="1" firstDataCol="1"/>
  <pivotFields count="4">
    <pivotField axis="axisRow" compact="0" allDrilled="1" outline="0" subtotalTop="0" showAll="0" dataSourceSort="1" defaultAttributeDrillState="1">
      <items count="9">
        <item x="0"/>
        <item x="1"/>
        <item x="2"/>
        <item x="3"/>
        <item x="4"/>
        <item x="5"/>
        <item x="6"/>
        <item x="7"/>
        <item t="default"/>
      </items>
    </pivotField>
    <pivotField dataField="1" compact="0" outline="0" subtotalTop="0" showAll="0"/>
    <pivotField dataField="1" compact="0" outline="0" subtotalTop="0" showAll="0"/>
    <pivotField dataField="1" compact="0" outline="0" subtotalTop="0" showAll="0"/>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SalesCategories]"/>
        <x15:activeTabTopLevelEntity name="[fSales]"/>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DFE188-A1A0-4639-884F-62D9CB71F140}" name="PivotTable2" cacheId="59" applyNumberFormats="0" applyBorderFormats="0" applyFontFormats="0" applyPatternFormats="0" applyAlignmentFormats="0" applyWidthHeightFormats="1" dataCaption="Values" tag="b0ce4bd8-6df8-4885-87f3-6e7aa8796be9" updatedVersion="6" minRefreshableVersion="3" useAutoFormatting="1" itemPrintTitles="1" createdVersion="5" indent="0" compact="0" compactData="0" multipleFieldFilters="0">
  <location ref="B3:E12" firstHeaderRow="0" firstDataRow="1" firstDataCol="1"/>
  <pivotFields count="4">
    <pivotField axis="axisRow" compact="0" allDrilled="1" outline="0" subtotalTop="0" showAll="0" dataSourceSort="1" defaultAttributeDrillState="1">
      <items count="9">
        <item x="0"/>
        <item x="1"/>
        <item x="2"/>
        <item x="3"/>
        <item x="4"/>
        <item x="5"/>
        <item x="6"/>
        <item x="7"/>
        <item t="default"/>
      </items>
    </pivotField>
    <pivotField dataField="1" compact="0" outline="0" subtotalTop="0" showAll="0"/>
    <pivotField dataField="1" compact="0" outline="0" subtotalTop="0" showAll="0"/>
    <pivotField dataField="1" compact="0" outline="0" subtotalTop="0" showAll="0"/>
  </pivotFields>
  <rowFields count="1">
    <field x="0"/>
  </rowFields>
  <rowItems count="9">
    <i>
      <x/>
    </i>
    <i>
      <x v="1"/>
    </i>
    <i>
      <x v="2"/>
    </i>
    <i>
      <x v="3"/>
    </i>
    <i>
      <x v="4"/>
    </i>
    <i>
      <x v="5"/>
    </i>
    <i>
      <x v="6"/>
    </i>
    <i>
      <x v="7"/>
    </i>
    <i t="grand">
      <x/>
    </i>
  </rowItems>
  <colFields count="1">
    <field x="-2"/>
  </colFields>
  <colItems count="3">
    <i>
      <x/>
    </i>
    <i i="1">
      <x v="1"/>
    </i>
    <i i="2">
      <x v="2"/>
    </i>
  </colItems>
  <dataFields count="3">
    <dataField fld="1" subtotal="count" baseField="0" baseItem="0"/>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sSalesCategories]"/>
        <x15:activeTabTopLevelEntity name="[fSales]"/>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8DCEA3-F8D4-4638-9475-2C3BDEC81A1F}" name="PivotTable1" cacheId="56" applyNumberFormats="0" applyBorderFormats="0" applyFontFormats="0" applyPatternFormats="0" applyAlignmentFormats="0" applyWidthHeightFormats="1" dataCaption="Values" tag="881730ab-47f4-4e10-90e9-6a96e7059055" updatedVersion="6" minRefreshableVersion="3" useAutoFormatting="1" itemPrintTitles="1" createdVersion="5" indent="0" compact="0" compactData="0" multipleFieldFilters="0">
  <location ref="B3:G17" firstHeaderRow="1" firstDataRow="2" firstDataCol="1"/>
  <pivotFields count="3">
    <pivotField dataField="1" compact="0" outline="0" subtotalTop="0" showAll="0"/>
    <pivotField axis="axisCol" compact="0" allDrilled="1" outline="0" subtotalTop="0" showAll="0" dataSourceSort="1" defaultAttributeDrillState="1">
      <items count="5">
        <item x="0"/>
        <item x="1"/>
        <item x="2"/>
        <item x="3"/>
        <item t="default"/>
      </items>
    </pivotField>
    <pivotField axis="axisRow" compact="0" allDrilled="1" outline="0" subtotalTop="0" showAll="0" dataSourceSort="1" defaultAttributeDrillState="1">
      <items count="13">
        <item x="0"/>
        <item x="1"/>
        <item x="2"/>
        <item x="3"/>
        <item x="4"/>
        <item x="5"/>
        <item x="6"/>
        <item x="7"/>
        <item x="8"/>
        <item x="9"/>
        <item x="10"/>
        <item x="11"/>
        <item t="default"/>
      </items>
    </pivotField>
  </pivotFields>
  <rowFields count="1">
    <field x="2"/>
  </rowFields>
  <rowItems count="13">
    <i>
      <x/>
    </i>
    <i>
      <x v="1"/>
    </i>
    <i>
      <x v="2"/>
    </i>
    <i>
      <x v="3"/>
    </i>
    <i>
      <x v="4"/>
    </i>
    <i>
      <x v="5"/>
    </i>
    <i>
      <x v="6"/>
    </i>
    <i>
      <x v="7"/>
    </i>
    <i>
      <x v="8"/>
    </i>
    <i>
      <x v="9"/>
    </i>
    <i>
      <x v="10"/>
    </i>
    <i>
      <x v="11"/>
    </i>
    <i t="grand">
      <x/>
    </i>
  </rowItems>
  <colFields count="1">
    <field x="1"/>
  </colFields>
  <colItems count="5">
    <i>
      <x/>
    </i>
    <i>
      <x v="1"/>
    </i>
    <i>
      <x v="2"/>
    </i>
    <i>
      <x v="3"/>
    </i>
    <i t="grand">
      <x/>
    </i>
  </colItems>
  <dataFields count="1">
    <dataField fld="0"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1">
    <rowHierarchyUsage hierarchyUsage="1"/>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Sales]"/>
        <x15:activeTabTopLevelEntity name="[dCalendar]"/>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0A37F10-F6CB-4DF8-85A6-1B9B0EE649F1}" name="PivotTable4" cacheId="53" applyNumberFormats="0" applyBorderFormats="0" applyFontFormats="0" applyPatternFormats="0" applyAlignmentFormats="0" applyWidthHeightFormats="1" dataCaption="Values" tag="31f2f8f3-07bf-4666-b357-bb40036fe3c9" updatedVersion="6" minRefreshableVersion="3" useAutoFormatting="1" itemPrintTitles="1" createdVersion="5" indent="0" compact="0" outline="1" outlineData="1" compactData="0" multipleFieldFilters="0">
  <location ref="B3:E19" firstHeaderRow="0" firstDataRow="1" firstDataCol="2"/>
  <pivotFields count="4">
    <pivotField axis="axisRow" compact="0" allDrilled="1" showAll="0" dataSourceSort="1" defaultAttributeDrillState="1">
      <items count="5">
        <item x="0"/>
        <item x="1"/>
        <item x="2"/>
        <item x="3"/>
        <item t="default"/>
      </items>
    </pivotField>
    <pivotField axis="axisRow" compact="0" allDrilled="1" showAll="0" dataSourceSort="1" defaultAttributeDrillState="1">
      <items count="4">
        <item x="0"/>
        <item x="1"/>
        <item x="2"/>
        <item t="default"/>
      </items>
    </pivotField>
    <pivotField dataField="1" compact="0" subtotalTop="0" showAll="0"/>
    <pivotField dataField="1" compact="0" subtotalTop="0" showAll="0"/>
  </pivotFields>
  <rowFields count="2">
    <field x="1"/>
    <field x="0"/>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fSales]"/>
        <x15:activeTabTopLevelEntity name="[dProducts]"/>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96A1B54A-BE0B-445F-85C8-7C40F7924BBB}" name="PivotTable6" cacheId="50" applyNumberFormats="0" applyBorderFormats="0" applyFontFormats="0" applyPatternFormats="0" applyAlignmentFormats="0" applyWidthHeightFormats="1" dataCaption="Values" tag="ecad87b3-bc66-4a61-8a22-206c3b180842" updatedVersion="6" minRefreshableVersion="3" useAutoFormatting="1" itemPrintTitles="1" createdVersion="5" indent="0" compact="0" outline="1" outlineData="1" compactData="0" multipleFieldFilters="0">
  <location ref="G3:J19" firstHeaderRow="0" firstDataRow="1" firstDataCol="2"/>
  <pivotFields count="4">
    <pivotField axis="axisRow" compact="0" allDrilled="1" showAll="0" dataSourceSort="1" defaultAttributeDrillState="1">
      <items count="5">
        <item x="0"/>
        <item x="1"/>
        <item x="2"/>
        <item x="3"/>
        <item t="default"/>
      </items>
    </pivotField>
    <pivotField axis="axisRow" compact="0" allDrilled="1" showAll="0" dataSourceSort="1" defaultAttributeDrillState="1">
      <items count="4">
        <item x="0"/>
        <item x="1"/>
        <item x="2"/>
        <item t="default"/>
      </items>
    </pivotField>
    <pivotField dataField="1" compact="0" subtotalTop="0" showAll="0"/>
    <pivotField dataField="1" compact="0" subtotalTop="0" showAll="0"/>
  </pivotFields>
  <rowFields count="2">
    <field x="1"/>
    <field x="0"/>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fSales]"/>
        <x15:activeTabTopLevelEntity name="[dProducts]"/>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FC770B-A3D3-461B-ADEA-C8969F7AEB17}" name="PivotTable1" cacheId="82" applyNumberFormats="0" applyBorderFormats="0" applyFontFormats="0" applyPatternFormats="0" applyAlignmentFormats="0" applyWidthHeightFormats="1" dataCaption="Values" tag="8f27348d-e874-44df-a161-1c5064f54f9a" updatedVersion="6" minRefreshableVersion="3" useAutoFormatting="1" itemPrintTitles="1" createdVersion="5" indent="0" compact="0" outline="1" outlineData="1" compactData="0" multipleFieldFilters="0">
  <location ref="B3:E19" firstHeaderRow="0" firstDataRow="1" firstDataCol="2"/>
  <pivotFields count="4">
    <pivotField name="RevenueReport" axis="axisRow" compact="0" allDrilled="1" showAll="0" dataSourceSort="1" defaultAttributeDrillState="1">
      <items count="4">
        <item x="0"/>
        <item x="1"/>
        <item x="2"/>
        <item t="default"/>
      </items>
    </pivotField>
    <pivotField axis="axisRow" compact="0" allDrilled="1" showAll="0" dataSourceSort="1" defaultAttributeDrillState="1">
      <items count="5">
        <item x="0"/>
        <item x="1"/>
        <item x="2"/>
        <item x="3"/>
        <item t="default"/>
      </items>
    </pivotField>
    <pivotField dataField="1" compact="0" showAll="0"/>
    <pivotField dataField="1" compact="0" showAll="0"/>
  </pivotFields>
  <rowFields count="2">
    <field x="0"/>
    <field x="1"/>
  </rowFields>
  <rowItems count="16">
    <i>
      <x/>
    </i>
    <i r="1">
      <x/>
    </i>
    <i r="1">
      <x v="1"/>
    </i>
    <i r="1">
      <x v="2"/>
    </i>
    <i r="1">
      <x v="3"/>
    </i>
    <i>
      <x v="1"/>
    </i>
    <i r="1">
      <x/>
    </i>
    <i r="1">
      <x v="1"/>
    </i>
    <i r="1">
      <x v="2"/>
    </i>
    <i r="1">
      <x v="3"/>
    </i>
    <i>
      <x v="2"/>
    </i>
    <i r="1">
      <x/>
    </i>
    <i r="1">
      <x v="1"/>
    </i>
    <i r="1">
      <x v="2"/>
    </i>
    <i r="1">
      <x v="3"/>
    </i>
    <i t="grand">
      <x/>
    </i>
  </rowItems>
  <colFields count="1">
    <field x="-2"/>
  </colFields>
  <colItems count="2">
    <i>
      <x/>
    </i>
    <i i="1">
      <x v="1"/>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Repor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2"/>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dCalendar]"/>
        <x15:activeTabTopLevelEntity name="[fSales]"/>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8ABB026B-038A-4135-B55F-4E88EBA6438A}" name="PivotTable3" cacheId="47" applyNumberFormats="0" applyBorderFormats="0" applyFontFormats="0" applyPatternFormats="0" applyAlignmentFormats="0" applyWidthHeightFormats="1" dataCaption="Values" tag="a7754e57-a800-4c1b-99df-3af5be16e1b1" updatedVersion="6" minRefreshableVersion="3" useAutoFormatting="1" itemPrintTitles="1" createdVersion="5" indent="0" compact="0" outline="1" outlineData="1" compactData="0" multipleFieldFilters="0">
  <location ref="L3:O56" firstHeaderRow="0" firstDataRow="1" firstDataCol="2"/>
  <pivotFields count="5">
    <pivotField name="RevenueReport" compact="0" allDrilled="1" showAll="0" dataSourceSort="1" defaultAttributeDrillState="1">
      <items count="4">
        <item x="0"/>
        <item x="1"/>
        <item x="2"/>
        <item t="default"/>
      </items>
    </pivotField>
    <pivotField axis="axisRow" compact="0" allDrilled="1" showAll="0" dataSourceSort="1" defaultAttributeDrillState="1">
      <items count="5">
        <item x="0"/>
        <item x="1"/>
        <item x="2"/>
        <item x="3"/>
        <item t="default"/>
      </items>
    </pivotField>
    <pivotField dataField="1" compact="0" showAll="0"/>
    <pivotField dataField="1" compact="0" showAll="0"/>
    <pivotField axis="axisRow" compact="0" allDrilled="1" subtotalTop="0" showAll="0" dataSourceSort="1" defaultAttributeDrillState="1">
      <items count="13">
        <item x="0"/>
        <item x="1"/>
        <item x="2"/>
        <item x="3"/>
        <item x="4"/>
        <item x="5"/>
        <item x="6"/>
        <item x="7"/>
        <item x="8"/>
        <item x="9"/>
        <item x="10"/>
        <item x="11"/>
        <item t="default"/>
      </items>
    </pivotField>
  </pivotFields>
  <rowFields count="2">
    <field x="1"/>
    <field x="4"/>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Fields count="1">
    <field x="-2"/>
  </colFields>
  <colItems count="2">
    <i>
      <x/>
    </i>
    <i i="1">
      <x v="1"/>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Repor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3"/>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dCalendar]"/>
        <x15:activeTabTopLevelEntity name="[fSales]"/>
      </x15:pivotTableUISettings>
    </ext>
    <ext xmlns:xpdl="http://schemas.microsoft.com/office/spreadsheetml/2016/pivotdefaultlayout" uri="{747A6164-185A-40DC-8AA5-F01512510D54}">
      <xpdl:pivotTableDefinition16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87D7AB13-B9CE-434A-B469-585380CF64BB}" name="PivotTable2" cacheId="44" applyNumberFormats="0" applyBorderFormats="0" applyFontFormats="0" applyPatternFormats="0" applyAlignmentFormats="0" applyWidthHeightFormats="1" dataCaption="Values" tag="cc855001-cab2-4725-b935-b8397fb0f402" updatedVersion="6" minRefreshableVersion="3" useAutoFormatting="1" itemPrintTitles="1" createdVersion="5" indent="0" compact="0" outline="1" outlineData="1" compactData="0" multipleFieldFilters="0">
  <location ref="G3:J16" firstHeaderRow="0" firstDataRow="1" firstDataCol="2"/>
  <pivotFields count="5">
    <pivotField name="RevenueReport" compact="0" allDrilled="1" showAll="0" dataSourceSort="1" defaultAttributeDrillState="1">
      <items count="4">
        <item x="0"/>
        <item x="1"/>
        <item x="2"/>
        <item t="default"/>
      </items>
    </pivotField>
    <pivotField axis="axisRow" compact="0" allDrilled="1" showAll="0" dataSourceSort="1" defaultAttributeDrillState="1">
      <items count="5">
        <item x="0"/>
        <item x="1"/>
        <item x="2"/>
        <item x="3"/>
        <item t="default"/>
      </items>
    </pivotField>
    <pivotField dataField="1" compact="0" showAll="0"/>
    <pivotField dataField="1" compact="0" showAll="0"/>
    <pivotField axis="axisRow" compact="0" allDrilled="1" subtotalTop="0" showAll="0" dataSourceSort="1" defaultAttributeDrillState="1">
      <items count="3">
        <item x="0"/>
        <item x="1"/>
        <item t="default"/>
      </items>
    </pivotField>
  </pivotFields>
  <rowFields count="2">
    <field x="4"/>
    <field x="1"/>
  </rowFields>
  <rowItems count="13">
    <i>
      <x/>
    </i>
    <i r="1">
      <x/>
    </i>
    <i r="1">
      <x v="1"/>
    </i>
    <i r="1">
      <x v="2"/>
    </i>
    <i r="1">
      <x v="3"/>
    </i>
    <i t="default">
      <x/>
    </i>
    <i>
      <x v="1"/>
    </i>
    <i r="1">
      <x/>
    </i>
    <i r="1">
      <x v="1"/>
    </i>
    <i r="1">
      <x v="2"/>
    </i>
    <i r="1">
      <x v="3"/>
    </i>
    <i t="default">
      <x v="1"/>
    </i>
    <i t="grand">
      <x/>
    </i>
  </rowItems>
  <colFields count="1">
    <field x="-2"/>
  </colFields>
  <colItems count="2">
    <i>
      <x/>
    </i>
    <i i="1">
      <x v="1"/>
    </i>
  </colItems>
  <dataFields count="2">
    <dataField fld="2" subtotal="count" baseField="0" baseItem="0"/>
    <dataField fld="3"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RevenueRepor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4"/>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Products]"/>
        <x15:activeTabTopLevelEntity name="[dCalendar]"/>
        <x15:activeTabTopLevelEntity name="[fSales]"/>
        <x15:activeTabTopLevelEntity name="[dCategory]"/>
      </x15:pivotTableUISettings>
    </ext>
    <ext xmlns:xpdl="http://schemas.microsoft.com/office/spreadsheetml/2016/pivotdefaultlayout" uri="{747A6164-185A-40DC-8AA5-F01512510D54}">
      <xpdl:pivotTableDefinition16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2" cacheId="38" applyNumberFormats="0" applyBorderFormats="0" applyFontFormats="0" applyPatternFormats="0" applyAlignmentFormats="0" applyWidthHeightFormats="1" dataCaption="Values" tag="1e3d31b8-f289-4823-a3ea-0d8d009a06b9" updatedVersion="6" minRefreshableVersion="3" useAutoFormatting="1" itemPrintTitles="1" createdVersion="5" indent="0" compact="0" outline="1" outlineData="1" compactData="0" multipleFieldFilters="0">
  <location ref="H7:J23" firstHeaderRow="1" firstDataRow="1" firstDataCol="2"/>
  <pivotFields count="3">
    <pivotField axis="axisRow" compact="0" allDrilled="1" showAll="0" dataSourceSort="1" defaultAttributeDrillState="1">
      <items count="5">
        <item x="0"/>
        <item x="1"/>
        <item x="2"/>
        <item x="3"/>
        <item t="default"/>
      </items>
    </pivotField>
    <pivotField axis="axisRow" compact="0" allDrilled="1" showAll="0" dataSourceSort="1" defaultAttributeDrillState="1">
      <items count="4">
        <item x="0"/>
        <item x="1"/>
        <item x="2"/>
        <item t="default"/>
      </items>
    </pivotField>
    <pivotField dataField="1" compact="0" showAll="0"/>
  </pivotFields>
  <rowFields count="2">
    <field x="1"/>
    <field x="0"/>
  </rowFields>
  <rowItems count="16">
    <i>
      <x/>
    </i>
    <i r="1">
      <x/>
    </i>
    <i r="1">
      <x v="1"/>
    </i>
    <i r="1">
      <x v="2"/>
    </i>
    <i r="1">
      <x v="3"/>
    </i>
    <i>
      <x v="1"/>
    </i>
    <i r="1">
      <x/>
    </i>
    <i r="1">
      <x v="1"/>
    </i>
    <i r="1">
      <x v="2"/>
    </i>
    <i r="1">
      <x v="3"/>
    </i>
    <i>
      <x v="2"/>
    </i>
    <i r="1">
      <x/>
    </i>
    <i r="1">
      <x v="1"/>
    </i>
    <i r="1">
      <x v="2"/>
    </i>
    <i r="1">
      <x v="3"/>
    </i>
    <i t="grand">
      <x/>
    </i>
  </rowItems>
  <colItems count="1">
    <i/>
  </colItems>
  <dataFields count="1">
    <dataField fld="2" subtotal="count" baseField="0" baseItem="0"/>
  </dataFields>
  <pivotHierarchies count="5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Medium9" showRowHeaders="1" showColHeaders="1" showRowStripes="0" showColStripes="0" showLastColumn="1"/>
  <rowHierarchiesUsage count="2">
    <rowHierarchyUsage hierarchyUsage="12"/>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Calendar]"/>
        <x15:activeTabTopLevelEntity name="[dProducts]"/>
        <x15:activeTabTopLevelEntity name="[fSales]"/>
      </x15:pivotTableUISettings>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6.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60AC-11CF-4B96-8219-2C1342EE75AC}">
  <dimension ref="B3:F18"/>
  <sheetViews>
    <sheetView tabSelected="1" workbookViewId="0">
      <selection activeCell="E22" sqref="E22"/>
    </sheetView>
  </sheetViews>
  <sheetFormatPr defaultRowHeight="15" x14ac:dyDescent="0.25"/>
  <cols>
    <col min="2" max="2" width="15.5703125" bestFit="1" customWidth="1"/>
    <col min="3" max="3" width="14.85546875" bestFit="1" customWidth="1"/>
    <col min="4" max="4" width="17.7109375" bestFit="1" customWidth="1"/>
    <col min="5" max="5" width="18.28515625" bestFit="1" customWidth="1"/>
    <col min="6" max="6" width="15.5703125" bestFit="1" customWidth="1"/>
  </cols>
  <sheetData>
    <row r="3" spans="2:6" x14ac:dyDescent="0.25">
      <c r="B3" s="3" t="s">
        <v>26</v>
      </c>
      <c r="C3" s="3" t="s">
        <v>221</v>
      </c>
      <c r="D3" t="s">
        <v>24</v>
      </c>
      <c r="E3" t="s">
        <v>230</v>
      </c>
      <c r="F3" t="s">
        <v>231</v>
      </c>
    </row>
    <row r="4" spans="2:6" x14ac:dyDescent="0.25">
      <c r="B4" t="s">
        <v>20</v>
      </c>
      <c r="C4" t="s">
        <v>222</v>
      </c>
      <c r="D4" s="4">
        <v>5179283.59</v>
      </c>
      <c r="E4" s="4">
        <v>5179283.59</v>
      </c>
      <c r="F4" s="4">
        <v>5179283.59</v>
      </c>
    </row>
    <row r="5" spans="2:6" x14ac:dyDescent="0.25">
      <c r="C5" t="s">
        <v>223</v>
      </c>
      <c r="D5" s="4">
        <v>5189362.7</v>
      </c>
      <c r="E5" s="4">
        <v>5179283.59</v>
      </c>
      <c r="F5" s="4"/>
    </row>
    <row r="6" spans="2:6" x14ac:dyDescent="0.25">
      <c r="C6" t="s">
        <v>224</v>
      </c>
      <c r="D6" s="4">
        <v>4974491.01</v>
      </c>
      <c r="E6" s="4">
        <v>5179283.59</v>
      </c>
      <c r="F6" s="4"/>
    </row>
    <row r="7" spans="2:6" x14ac:dyDescent="0.25">
      <c r="B7" t="s">
        <v>225</v>
      </c>
      <c r="D7" s="4">
        <v>15343137.300000001</v>
      </c>
      <c r="E7" s="4">
        <v>5179283.59</v>
      </c>
      <c r="F7" s="4">
        <v>5179283.59</v>
      </c>
    </row>
    <row r="8" spans="2:6" x14ac:dyDescent="0.25">
      <c r="B8" t="s">
        <v>21</v>
      </c>
      <c r="C8" t="s">
        <v>222</v>
      </c>
      <c r="D8" s="4">
        <v>5734002.0199999996</v>
      </c>
      <c r="E8" s="4">
        <v>5179283.59</v>
      </c>
      <c r="F8" s="4"/>
    </row>
    <row r="9" spans="2:6" x14ac:dyDescent="0.25">
      <c r="C9" t="s">
        <v>226</v>
      </c>
      <c r="D9" s="4">
        <v>6370892.3300000001</v>
      </c>
      <c r="E9" s="4">
        <v>5179283.59</v>
      </c>
      <c r="F9" s="4"/>
    </row>
    <row r="10" spans="2:6" x14ac:dyDescent="0.25">
      <c r="C10" t="s">
        <v>227</v>
      </c>
      <c r="D10" s="4">
        <v>6376279.8499999996</v>
      </c>
      <c r="E10" s="4">
        <v>5179283.59</v>
      </c>
      <c r="F10" s="4"/>
    </row>
    <row r="11" spans="2:6" x14ac:dyDescent="0.25">
      <c r="C11" t="s">
        <v>223</v>
      </c>
      <c r="D11" s="4">
        <v>5903741.6699999999</v>
      </c>
      <c r="E11" s="4">
        <v>5179283.59</v>
      </c>
      <c r="F11" s="4"/>
    </row>
    <row r="12" spans="2:6" x14ac:dyDescent="0.25">
      <c r="C12" t="s">
        <v>224</v>
      </c>
      <c r="D12" s="4">
        <v>5723088.9699999997</v>
      </c>
      <c r="E12" s="4">
        <v>5179283.59</v>
      </c>
      <c r="F12" s="4"/>
    </row>
    <row r="13" spans="2:6" x14ac:dyDescent="0.25">
      <c r="B13" t="s">
        <v>228</v>
      </c>
      <c r="D13" s="4">
        <v>30108004.84</v>
      </c>
      <c r="E13" s="4">
        <v>5179283.59</v>
      </c>
      <c r="F13" s="4"/>
    </row>
    <row r="14" spans="2:6" x14ac:dyDescent="0.25">
      <c r="B14" t="s">
        <v>22</v>
      </c>
      <c r="C14" t="s">
        <v>222</v>
      </c>
      <c r="D14" s="4">
        <v>9187108.1999999993</v>
      </c>
      <c r="E14" s="4">
        <v>5179283.59</v>
      </c>
      <c r="F14" s="4"/>
    </row>
    <row r="15" spans="2:6" x14ac:dyDescent="0.25">
      <c r="C15" t="s">
        <v>223</v>
      </c>
      <c r="D15" s="4">
        <v>9431725.3699999992</v>
      </c>
      <c r="E15" s="4">
        <v>5179283.59</v>
      </c>
      <c r="F15" s="4"/>
    </row>
    <row r="16" spans="2:6" x14ac:dyDescent="0.25">
      <c r="C16" t="s">
        <v>224</v>
      </c>
      <c r="D16" s="4">
        <v>9581697.9900000002</v>
      </c>
      <c r="E16" s="4">
        <v>5179283.59</v>
      </c>
      <c r="F16" s="4"/>
    </row>
    <row r="17" spans="2:6" x14ac:dyDescent="0.25">
      <c r="B17" t="s">
        <v>229</v>
      </c>
      <c r="D17" s="4">
        <v>28200531.559999999</v>
      </c>
      <c r="E17" s="4">
        <v>5179283.59</v>
      </c>
      <c r="F17" s="4"/>
    </row>
    <row r="18" spans="2:6" x14ac:dyDescent="0.25">
      <c r="B18" t="s">
        <v>23</v>
      </c>
      <c r="D18" s="4">
        <v>73651673.700000003</v>
      </c>
      <c r="E18" s="4">
        <v>5179283.59</v>
      </c>
      <c r="F18" s="4">
        <v>5179283.59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7B985-3949-4EAB-A30C-88126E2EEF97}">
  <dimension ref="B3:E12"/>
  <sheetViews>
    <sheetView workbookViewId="0">
      <selection activeCell="B3" sqref="B3"/>
    </sheetView>
  </sheetViews>
  <sheetFormatPr defaultRowHeight="15" x14ac:dyDescent="0.25"/>
  <cols>
    <col min="2" max="2" width="29" bestFit="1" customWidth="1"/>
    <col min="3" max="3" width="17.7109375" bestFit="1" customWidth="1"/>
    <col min="4" max="4" width="23" bestFit="1" customWidth="1"/>
    <col min="5" max="5" width="29.28515625" bestFit="1" customWidth="1"/>
  </cols>
  <sheetData>
    <row r="3" spans="2:5" x14ac:dyDescent="0.25">
      <c r="B3" s="3" t="s">
        <v>209</v>
      </c>
      <c r="C3" t="s">
        <v>24</v>
      </c>
      <c r="D3" t="s">
        <v>219</v>
      </c>
      <c r="E3" t="s">
        <v>220</v>
      </c>
    </row>
    <row r="4" spans="2:5" x14ac:dyDescent="0.25">
      <c r="B4" t="s">
        <v>210</v>
      </c>
      <c r="C4" s="4">
        <v>1321631.97</v>
      </c>
      <c r="D4" s="34">
        <v>4875</v>
      </c>
      <c r="E4" s="4">
        <v>271.10399999999998</v>
      </c>
    </row>
    <row r="5" spans="2:5" x14ac:dyDescent="0.25">
      <c r="B5" t="s">
        <v>211</v>
      </c>
      <c r="C5" s="4">
        <v>8397794.4299999997</v>
      </c>
      <c r="D5" s="34">
        <v>11107</v>
      </c>
      <c r="E5" s="4">
        <v>756.08119999999997</v>
      </c>
    </row>
    <row r="6" spans="2:5" x14ac:dyDescent="0.25">
      <c r="B6" t="s">
        <v>212</v>
      </c>
      <c r="C6" s="4">
        <v>23988545.239999998</v>
      </c>
      <c r="D6" s="34">
        <v>18779</v>
      </c>
      <c r="E6" s="4">
        <v>1277.4132999999999</v>
      </c>
    </row>
    <row r="7" spans="2:5" x14ac:dyDescent="0.25">
      <c r="B7" t="s">
        <v>213</v>
      </c>
      <c r="C7" s="4">
        <v>18408549.809999999</v>
      </c>
      <c r="D7" s="34">
        <v>10910</v>
      </c>
      <c r="E7" s="4">
        <v>1687.3098</v>
      </c>
    </row>
    <row r="8" spans="2:5" x14ac:dyDescent="0.25">
      <c r="B8" t="s">
        <v>214</v>
      </c>
      <c r="C8" s="4">
        <v>12307437.57</v>
      </c>
      <c r="D8" s="34">
        <v>5531</v>
      </c>
      <c r="E8" s="4">
        <v>2225.174</v>
      </c>
    </row>
    <row r="9" spans="2:5" x14ac:dyDescent="0.25">
      <c r="B9" t="s">
        <v>215</v>
      </c>
      <c r="C9" s="4">
        <v>7661090.0499999998</v>
      </c>
      <c r="D9" s="34">
        <v>2843</v>
      </c>
      <c r="E9" s="4">
        <v>2694.7204000000002</v>
      </c>
    </row>
    <row r="10" spans="2:5" x14ac:dyDescent="0.25">
      <c r="B10" t="s">
        <v>216</v>
      </c>
      <c r="C10" s="4">
        <v>1534980.63</v>
      </c>
      <c r="D10" s="34">
        <v>476</v>
      </c>
      <c r="E10" s="4">
        <v>3224.7492000000002</v>
      </c>
    </row>
    <row r="11" spans="2:5" x14ac:dyDescent="0.25">
      <c r="B11" t="s">
        <v>217</v>
      </c>
      <c r="C11" s="4">
        <v>31644</v>
      </c>
      <c r="D11" s="34">
        <v>9</v>
      </c>
      <c r="E11" s="4">
        <v>3516</v>
      </c>
    </row>
    <row r="12" spans="2:5" x14ac:dyDescent="0.25">
      <c r="B12" t="s">
        <v>23</v>
      </c>
      <c r="C12" s="4">
        <v>73651673.700000003</v>
      </c>
      <c r="D12" s="34">
        <v>54530</v>
      </c>
      <c r="E12" s="4">
        <v>1350.6633999999999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100AE5-0D24-4245-82EB-38139F795F82}">
  <dimension ref="B3:E12"/>
  <sheetViews>
    <sheetView topLeftCell="B1" zoomScale="85" zoomScaleNormal="85" workbookViewId="0">
      <selection activeCell="D19" sqref="D19"/>
    </sheetView>
  </sheetViews>
  <sheetFormatPr defaultRowHeight="15" x14ac:dyDescent="0.25"/>
  <cols>
    <col min="2" max="2" width="29.5703125" bestFit="1" customWidth="1"/>
    <col min="3" max="3" width="21" bestFit="1" customWidth="1"/>
    <col min="4" max="4" width="23" bestFit="1" customWidth="1"/>
    <col min="5" max="7" width="29.28515625" bestFit="1" customWidth="1"/>
  </cols>
  <sheetData>
    <row r="3" spans="2:5" x14ac:dyDescent="0.25">
      <c r="B3" s="3" t="s">
        <v>209</v>
      </c>
      <c r="C3" t="s">
        <v>218</v>
      </c>
      <c r="D3" t="s">
        <v>219</v>
      </c>
      <c r="E3" t="s">
        <v>220</v>
      </c>
    </row>
    <row r="4" spans="2:5" x14ac:dyDescent="0.25">
      <c r="B4" t="s">
        <v>210</v>
      </c>
      <c r="C4" s="4">
        <v>1321631.97</v>
      </c>
      <c r="D4" s="34">
        <v>4875</v>
      </c>
      <c r="E4" s="4">
        <v>271.10399999999998</v>
      </c>
    </row>
    <row r="5" spans="2:5" x14ac:dyDescent="0.25">
      <c r="B5" t="s">
        <v>211</v>
      </c>
      <c r="C5" s="4">
        <v>8397794.4299999997</v>
      </c>
      <c r="D5" s="34">
        <v>11107</v>
      </c>
      <c r="E5" s="4">
        <v>756.08119999999997</v>
      </c>
    </row>
    <row r="6" spans="2:5" x14ac:dyDescent="0.25">
      <c r="B6" t="s">
        <v>212</v>
      </c>
      <c r="C6" s="4">
        <v>23988545.239999998</v>
      </c>
      <c r="D6" s="34">
        <v>18779</v>
      </c>
      <c r="E6" s="4">
        <v>1277.4132999999999</v>
      </c>
    </row>
    <row r="7" spans="2:5" x14ac:dyDescent="0.25">
      <c r="B7" t="s">
        <v>213</v>
      </c>
      <c r="C7" s="4">
        <v>18408549.809999999</v>
      </c>
      <c r="D7" s="34">
        <v>10910</v>
      </c>
      <c r="E7" s="4">
        <v>1687.3098</v>
      </c>
    </row>
    <row r="8" spans="2:5" x14ac:dyDescent="0.25">
      <c r="B8" t="s">
        <v>214</v>
      </c>
      <c r="C8" s="4">
        <v>12307437.57</v>
      </c>
      <c r="D8" s="34">
        <v>5531</v>
      </c>
      <c r="E8" s="4">
        <v>2225.174</v>
      </c>
    </row>
    <row r="9" spans="2:5" x14ac:dyDescent="0.25">
      <c r="B9" t="s">
        <v>215</v>
      </c>
      <c r="C9" s="4">
        <v>7661090.0499999998</v>
      </c>
      <c r="D9" s="34">
        <v>2843</v>
      </c>
      <c r="E9" s="4">
        <v>2694.7204000000002</v>
      </c>
    </row>
    <row r="10" spans="2:5" x14ac:dyDescent="0.25">
      <c r="B10" t="s">
        <v>216</v>
      </c>
      <c r="C10" s="4">
        <v>1534980.63</v>
      </c>
      <c r="D10" s="34">
        <v>476</v>
      </c>
      <c r="E10" s="4">
        <v>3224.7492000000002</v>
      </c>
    </row>
    <row r="11" spans="2:5" x14ac:dyDescent="0.25">
      <c r="B11" t="s">
        <v>217</v>
      </c>
      <c r="C11" s="4">
        <v>31644</v>
      </c>
      <c r="D11" s="34">
        <v>9</v>
      </c>
      <c r="E11" s="4">
        <v>3516</v>
      </c>
    </row>
    <row r="12" spans="2:5" x14ac:dyDescent="0.25">
      <c r="B12" t="s">
        <v>23</v>
      </c>
      <c r="C12" s="4">
        <v>73651673.700000003</v>
      </c>
      <c r="D12" s="34">
        <v>54530</v>
      </c>
      <c r="E12" s="4">
        <v>1350.6633999999999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2A1CBE-F857-475C-9B55-38EC1DF4FE7F}">
  <dimension ref="B3:G17"/>
  <sheetViews>
    <sheetView workbookViewId="0">
      <selection activeCell="D14" sqref="D14"/>
    </sheetView>
  </sheetViews>
  <sheetFormatPr defaultRowHeight="15" x14ac:dyDescent="0.25"/>
  <cols>
    <col min="2" max="2" width="24.5703125" bestFit="1" customWidth="1"/>
    <col min="3" max="7" width="13.85546875" bestFit="1" customWidth="1"/>
  </cols>
  <sheetData>
    <row r="3" spans="2:7" x14ac:dyDescent="0.25">
      <c r="B3" s="3" t="s">
        <v>208</v>
      </c>
      <c r="C3" s="3" t="s">
        <v>27</v>
      </c>
    </row>
    <row r="4" spans="2:7" x14ac:dyDescent="0.25">
      <c r="B4" s="3" t="s">
        <v>193</v>
      </c>
      <c r="C4">
        <v>2014</v>
      </c>
      <c r="D4">
        <v>2015</v>
      </c>
      <c r="E4">
        <v>2016</v>
      </c>
      <c r="F4">
        <v>2017</v>
      </c>
      <c r="G4" t="s">
        <v>23</v>
      </c>
    </row>
    <row r="5" spans="2:7" x14ac:dyDescent="0.25">
      <c r="B5" t="s">
        <v>194</v>
      </c>
      <c r="C5" s="4">
        <v>828736.1</v>
      </c>
      <c r="D5" s="4">
        <v>892835.89</v>
      </c>
      <c r="E5" s="4">
        <v>825173.41</v>
      </c>
      <c r="F5" s="4">
        <v>1240754.7</v>
      </c>
      <c r="G5" s="4">
        <v>3787500.1</v>
      </c>
    </row>
    <row r="6" spans="2:7" x14ac:dyDescent="0.25">
      <c r="B6" t="s">
        <v>195</v>
      </c>
      <c r="C6" s="4">
        <v>737018.86</v>
      </c>
      <c r="D6" s="4">
        <v>861118.71</v>
      </c>
      <c r="E6" s="4">
        <v>701481.91</v>
      </c>
      <c r="F6" s="4">
        <v>1138070.44</v>
      </c>
      <c r="G6" s="4">
        <v>3437689.92</v>
      </c>
    </row>
    <row r="7" spans="2:7" x14ac:dyDescent="0.25">
      <c r="B7" t="s">
        <v>196</v>
      </c>
      <c r="C7" s="4">
        <v>942643.76</v>
      </c>
      <c r="D7" s="4">
        <v>851767.22</v>
      </c>
      <c r="E7" s="4">
        <v>847563.16</v>
      </c>
      <c r="F7" s="4">
        <v>1093685.8400000001</v>
      </c>
      <c r="G7" s="4">
        <v>3735659.98</v>
      </c>
    </row>
    <row r="8" spans="2:7" x14ac:dyDescent="0.25">
      <c r="B8" t="s">
        <v>197</v>
      </c>
      <c r="C8" s="4">
        <v>970177.1</v>
      </c>
      <c r="D8" s="4">
        <v>786898.62</v>
      </c>
      <c r="E8" s="4">
        <v>791246.72</v>
      </c>
      <c r="F8" s="4">
        <v>1178498.54</v>
      </c>
      <c r="G8" s="4">
        <v>3726820.98</v>
      </c>
    </row>
    <row r="9" spans="2:7" x14ac:dyDescent="0.25">
      <c r="B9" t="s">
        <v>198</v>
      </c>
      <c r="C9" s="4">
        <v>891791.15</v>
      </c>
      <c r="D9" s="4">
        <v>840726.13</v>
      </c>
      <c r="E9" s="4">
        <v>963546.03</v>
      </c>
      <c r="F9" s="4">
        <v>1131938.28</v>
      </c>
      <c r="G9" s="4">
        <v>3828001.59</v>
      </c>
    </row>
    <row r="10" spans="2:7" x14ac:dyDescent="0.25">
      <c r="B10" t="s">
        <v>199</v>
      </c>
      <c r="C10" s="4">
        <v>941225.87</v>
      </c>
      <c r="D10" s="4">
        <v>933118.52</v>
      </c>
      <c r="E10" s="4">
        <v>914326.07</v>
      </c>
      <c r="F10" s="4">
        <v>1176598.26</v>
      </c>
      <c r="G10" s="4">
        <v>3965268.72</v>
      </c>
    </row>
    <row r="11" spans="2:7" x14ac:dyDescent="0.25">
      <c r="B11" t="s">
        <v>200</v>
      </c>
      <c r="C11" s="4">
        <v>971852.06</v>
      </c>
      <c r="D11" s="4">
        <v>1007919.71</v>
      </c>
      <c r="E11" s="4">
        <v>942023.54</v>
      </c>
      <c r="F11" s="4">
        <v>1174396.8500000001</v>
      </c>
      <c r="G11" s="4">
        <v>4096192.16</v>
      </c>
    </row>
    <row r="12" spans="2:7" x14ac:dyDescent="0.25">
      <c r="B12" t="s">
        <v>201</v>
      </c>
      <c r="C12" s="4">
        <v>770477.19</v>
      </c>
      <c r="D12" s="4">
        <v>871576.85</v>
      </c>
      <c r="E12" s="4">
        <v>938089.21</v>
      </c>
      <c r="F12" s="4">
        <v>1205595.8600000001</v>
      </c>
      <c r="G12" s="4">
        <v>3785739.11</v>
      </c>
    </row>
    <row r="13" spans="2:7" x14ac:dyDescent="0.25">
      <c r="B13" t="s">
        <v>202</v>
      </c>
      <c r="C13" s="4">
        <v>753739.04</v>
      </c>
      <c r="D13" s="4">
        <v>953258</v>
      </c>
      <c r="E13" s="4">
        <v>909009.26</v>
      </c>
      <c r="F13" s="4">
        <v>1162361.47</v>
      </c>
      <c r="G13" s="4">
        <v>3778367.77</v>
      </c>
    </row>
    <row r="14" spans="2:7" x14ac:dyDescent="0.25">
      <c r="B14" t="s">
        <v>203</v>
      </c>
      <c r="C14" s="4">
        <v>917876.25</v>
      </c>
      <c r="D14" s="4">
        <v>969999.88</v>
      </c>
      <c r="E14" s="4">
        <v>811065.17</v>
      </c>
      <c r="F14" s="4">
        <v>1217843.8999999999</v>
      </c>
      <c r="G14" s="4">
        <v>3916785.2</v>
      </c>
    </row>
    <row r="15" spans="2:7" x14ac:dyDescent="0.25">
      <c r="B15" t="s">
        <v>204</v>
      </c>
      <c r="C15" s="4">
        <v>781846.1</v>
      </c>
      <c r="D15" s="4">
        <v>719217.03</v>
      </c>
      <c r="E15" s="4">
        <v>813636.16</v>
      </c>
      <c r="F15" s="4">
        <v>1223628.6000000001</v>
      </c>
      <c r="G15" s="4">
        <v>3538327.89</v>
      </c>
    </row>
    <row r="16" spans="2:7" x14ac:dyDescent="0.25">
      <c r="B16" t="s">
        <v>205</v>
      </c>
      <c r="C16" s="4">
        <v>901389.14</v>
      </c>
      <c r="D16" s="4">
        <v>959836.44</v>
      </c>
      <c r="E16" s="4">
        <v>891659.71</v>
      </c>
      <c r="F16" s="4">
        <v>1101903.43</v>
      </c>
      <c r="G16" s="4">
        <v>3854788.72</v>
      </c>
    </row>
    <row r="17" spans="2:7" x14ac:dyDescent="0.25">
      <c r="B17" t="s">
        <v>23</v>
      </c>
      <c r="C17" s="4">
        <v>10408772.619999999</v>
      </c>
      <c r="D17" s="4">
        <v>10648273</v>
      </c>
      <c r="E17" s="4">
        <v>10348820.35</v>
      </c>
      <c r="F17" s="4">
        <v>14045276.17</v>
      </c>
      <c r="G17" s="4">
        <v>45451142.140000001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CE791-C429-445E-AD64-A8E4F774E990}">
  <dimension ref="B3:J19"/>
  <sheetViews>
    <sheetView workbookViewId="0">
      <selection activeCell="J8" sqref="J8"/>
    </sheetView>
  </sheetViews>
  <sheetFormatPr defaultRowHeight="15" x14ac:dyDescent="0.25"/>
  <cols>
    <col min="2" max="2" width="11.28515625" bestFit="1" customWidth="1"/>
    <col min="3" max="3" width="7.28515625" bestFit="1" customWidth="1"/>
    <col min="4" max="4" width="17.7109375" bestFit="1" customWidth="1"/>
    <col min="5" max="6" width="15.7109375" bestFit="1" customWidth="1"/>
    <col min="7" max="7" width="11.28515625" bestFit="1" customWidth="1"/>
    <col min="8" max="8" width="7.28515625" bestFit="1" customWidth="1"/>
    <col min="9" max="9" width="23.42578125" bestFit="1" customWidth="1"/>
    <col min="10" max="10" width="18.28515625" bestFit="1" customWidth="1"/>
  </cols>
  <sheetData>
    <row r="3" spans="2:10" x14ac:dyDescent="0.25">
      <c r="B3" s="3" t="s">
        <v>26</v>
      </c>
      <c r="C3" s="3" t="s">
        <v>27</v>
      </c>
      <c r="D3" t="s">
        <v>24</v>
      </c>
      <c r="E3" t="s">
        <v>14</v>
      </c>
      <c r="G3" s="3" t="s">
        <v>26</v>
      </c>
      <c r="H3" s="3" t="s">
        <v>27</v>
      </c>
      <c r="I3" t="s">
        <v>206</v>
      </c>
      <c r="J3" t="s">
        <v>207</v>
      </c>
    </row>
    <row r="4" spans="2:10" x14ac:dyDescent="0.25">
      <c r="B4" t="s">
        <v>20</v>
      </c>
      <c r="D4" s="4">
        <v>15343137.300000001</v>
      </c>
      <c r="E4" s="33">
        <v>0.20832028016764539</v>
      </c>
      <c r="G4" t="s">
        <v>20</v>
      </c>
      <c r="I4" s="4">
        <v>3487344.88</v>
      </c>
      <c r="J4" s="33"/>
    </row>
    <row r="5" spans="2:10" x14ac:dyDescent="0.25">
      <c r="C5">
        <v>2014</v>
      </c>
      <c r="D5" s="4">
        <v>3487344.88</v>
      </c>
      <c r="E5" s="33">
        <v>0.20755954784502495</v>
      </c>
      <c r="H5">
        <v>2014</v>
      </c>
      <c r="I5" s="4">
        <v>3487344.88</v>
      </c>
      <c r="J5" s="33">
        <v>0</v>
      </c>
    </row>
    <row r="6" spans="2:10" x14ac:dyDescent="0.25">
      <c r="C6">
        <v>2015</v>
      </c>
      <c r="D6" s="4">
        <v>3532977.44</v>
      </c>
      <c r="E6" s="33">
        <v>0.20439419879577991</v>
      </c>
      <c r="H6">
        <v>2015</v>
      </c>
      <c r="I6" s="4">
        <v>3487344.88</v>
      </c>
      <c r="J6" s="33">
        <v>1.3085187032032319E-2</v>
      </c>
    </row>
    <row r="7" spans="2:10" x14ac:dyDescent="0.25">
      <c r="C7">
        <v>2016</v>
      </c>
      <c r="D7" s="4">
        <v>3526000.58</v>
      </c>
      <c r="E7" s="33">
        <v>0.21140861942262507</v>
      </c>
      <c r="H7">
        <v>2016</v>
      </c>
      <c r="I7" s="4">
        <v>3487344.88</v>
      </c>
      <c r="J7" s="33">
        <v>1.1084564713312872E-2</v>
      </c>
    </row>
    <row r="8" spans="2:10" x14ac:dyDescent="0.25">
      <c r="C8">
        <v>2017</v>
      </c>
      <c r="D8" s="4">
        <v>4796814.4000000004</v>
      </c>
      <c r="E8" s="33">
        <v>0.20959331942245746</v>
      </c>
      <c r="H8">
        <v>2017</v>
      </c>
      <c r="I8" s="4">
        <v>3487344.88</v>
      </c>
      <c r="J8" s="33">
        <v>0.37549183262883945</v>
      </c>
    </row>
    <row r="9" spans="2:10" x14ac:dyDescent="0.25">
      <c r="B9" t="s">
        <v>21</v>
      </c>
      <c r="D9" s="4">
        <v>30108004.84</v>
      </c>
      <c r="E9" s="33">
        <v>0.40878914663415178</v>
      </c>
      <c r="G9" t="s">
        <v>21</v>
      </c>
      <c r="I9" s="4">
        <v>6921427.7400000002</v>
      </c>
      <c r="J9" s="33"/>
    </row>
    <row r="10" spans="2:10" x14ac:dyDescent="0.25">
      <c r="C10">
        <v>2014</v>
      </c>
      <c r="D10" s="4">
        <v>6921427.7400000002</v>
      </c>
      <c r="E10" s="33">
        <v>0.41194905052132752</v>
      </c>
      <c r="H10">
        <v>2014</v>
      </c>
      <c r="I10" s="4">
        <v>6921427.7400000002</v>
      </c>
      <c r="J10" s="33">
        <v>0</v>
      </c>
    </row>
    <row r="11" spans="2:10" x14ac:dyDescent="0.25">
      <c r="C11">
        <v>2015</v>
      </c>
      <c r="D11" s="4">
        <v>7115295.5599999996</v>
      </c>
      <c r="E11" s="33">
        <v>0.41164291589174995</v>
      </c>
      <c r="H11">
        <v>2015</v>
      </c>
      <c r="I11" s="4">
        <v>6921427.7400000002</v>
      </c>
      <c r="J11" s="33">
        <v>2.800980191985647E-2</v>
      </c>
    </row>
    <row r="12" spans="2:10" x14ac:dyDescent="0.25">
      <c r="C12">
        <v>2016</v>
      </c>
      <c r="D12" s="4">
        <v>6822819.7699999996</v>
      </c>
      <c r="E12" s="33">
        <v>0.40907619707342541</v>
      </c>
      <c r="H12">
        <v>2016</v>
      </c>
      <c r="I12" s="4">
        <v>6921427.7400000002</v>
      </c>
      <c r="J12" s="33">
        <v>-1.4246767242852121E-2</v>
      </c>
    </row>
    <row r="13" spans="2:10" x14ac:dyDescent="0.25">
      <c r="C13">
        <v>2017</v>
      </c>
      <c r="D13" s="4">
        <v>9248461.7699999996</v>
      </c>
      <c r="E13" s="33">
        <v>0.40410481629766543</v>
      </c>
      <c r="H13">
        <v>2017</v>
      </c>
      <c r="I13" s="4">
        <v>6921427.7400000002</v>
      </c>
      <c r="J13" s="33">
        <v>0.33620722738340691</v>
      </c>
    </row>
    <row r="14" spans="2:10" x14ac:dyDescent="0.25">
      <c r="B14" t="s">
        <v>22</v>
      </c>
      <c r="D14" s="4">
        <v>28200531.559999999</v>
      </c>
      <c r="E14" s="33">
        <v>0.3828905731982028</v>
      </c>
      <c r="G14" t="s">
        <v>22</v>
      </c>
      <c r="I14" s="4">
        <v>6392887.0300000003</v>
      </c>
      <c r="J14" s="33"/>
    </row>
    <row r="15" spans="2:10" x14ac:dyDescent="0.25">
      <c r="C15">
        <v>2014</v>
      </c>
      <c r="D15" s="4">
        <v>6392887.0300000003</v>
      </c>
      <c r="E15" s="33">
        <v>0.38049140163364753</v>
      </c>
      <c r="H15">
        <v>2014</v>
      </c>
      <c r="I15" s="4">
        <v>6392887.0300000003</v>
      </c>
      <c r="J15" s="33">
        <v>0</v>
      </c>
    </row>
    <row r="16" spans="2:10" x14ac:dyDescent="0.25">
      <c r="C16">
        <v>2015</v>
      </c>
      <c r="D16" s="4">
        <v>6636843.0199999996</v>
      </c>
      <c r="E16" s="33">
        <v>0.38396288531247014</v>
      </c>
      <c r="H16">
        <v>2015</v>
      </c>
      <c r="I16" s="4">
        <v>6392887.0300000003</v>
      </c>
      <c r="J16" s="33">
        <v>3.81605351158536E-2</v>
      </c>
    </row>
    <row r="17" spans="2:10" x14ac:dyDescent="0.25">
      <c r="C17">
        <v>2016</v>
      </c>
      <c r="D17" s="4">
        <v>6329783.3399999999</v>
      </c>
      <c r="E17" s="33">
        <v>0.37951518350394953</v>
      </c>
      <c r="H17">
        <v>2016</v>
      </c>
      <c r="I17" s="4">
        <v>6392887.0300000003</v>
      </c>
      <c r="J17" s="33">
        <v>-9.870922120768344E-3</v>
      </c>
    </row>
    <row r="18" spans="2:10" x14ac:dyDescent="0.25">
      <c r="C18">
        <v>2017</v>
      </c>
      <c r="D18" s="4">
        <v>8841018.1699999999</v>
      </c>
      <c r="E18" s="33">
        <v>0.38630186427987712</v>
      </c>
      <c r="H18">
        <v>2017</v>
      </c>
      <c r="I18" s="4">
        <v>6392887.0300000003</v>
      </c>
      <c r="J18" s="33">
        <v>0.38294609751613273</v>
      </c>
    </row>
    <row r="19" spans="2:10" x14ac:dyDescent="0.25">
      <c r="B19" t="s">
        <v>23</v>
      </c>
      <c r="D19" s="4">
        <v>73651673.700000003</v>
      </c>
      <c r="E19" s="33">
        <v>1</v>
      </c>
      <c r="G19" t="s">
        <v>23</v>
      </c>
      <c r="I19" s="4">
        <v>16801659.649999999</v>
      </c>
      <c r="J19" s="33"/>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2EECDA-C2F8-481E-8176-BCE5C1368C87}">
  <dimension ref="B3:O56"/>
  <sheetViews>
    <sheetView topLeftCell="C1" zoomScale="85" zoomScaleNormal="85" workbookViewId="0">
      <selection activeCell="C17" sqref="C17"/>
    </sheetView>
  </sheetViews>
  <sheetFormatPr defaultRowHeight="15" x14ac:dyDescent="0.25"/>
  <cols>
    <col min="2" max="2" width="13.140625" bestFit="1" customWidth="1"/>
    <col min="3" max="3" width="7.5703125" bestFit="1" customWidth="1"/>
    <col min="4" max="4" width="17.7109375" bestFit="1" customWidth="1"/>
    <col min="5" max="5" width="29" bestFit="1" customWidth="1"/>
    <col min="6" max="6" width="4.140625" customWidth="1"/>
    <col min="7" max="7" width="11.28515625" bestFit="1" customWidth="1"/>
    <col min="8" max="8" width="7.5703125" bestFit="1" customWidth="1"/>
    <col min="9" max="9" width="17.7109375" bestFit="1" customWidth="1"/>
    <col min="10" max="10" width="29" bestFit="1" customWidth="1"/>
    <col min="12" max="12" width="11.28515625" bestFit="1" customWidth="1"/>
    <col min="13" max="13" width="9.28515625" bestFit="1" customWidth="1"/>
    <col min="14" max="14" width="17.7109375" bestFit="1" customWidth="1"/>
    <col min="15" max="15" width="29" bestFit="1" customWidth="1"/>
  </cols>
  <sheetData>
    <row r="3" spans="2:15" x14ac:dyDescent="0.25">
      <c r="B3" s="3" t="s">
        <v>187</v>
      </c>
      <c r="C3" s="3" t="s">
        <v>27</v>
      </c>
      <c r="D3" t="s">
        <v>24</v>
      </c>
      <c r="E3" t="s">
        <v>188</v>
      </c>
      <c r="G3" s="3" t="s">
        <v>28</v>
      </c>
      <c r="H3" s="3" t="s">
        <v>27</v>
      </c>
      <c r="I3" t="s">
        <v>24</v>
      </c>
      <c r="J3" t="s">
        <v>188</v>
      </c>
      <c r="L3" s="3" t="s">
        <v>27</v>
      </c>
      <c r="M3" s="3" t="s">
        <v>193</v>
      </c>
      <c r="N3" t="s">
        <v>24</v>
      </c>
      <c r="O3" t="s">
        <v>188</v>
      </c>
    </row>
    <row r="4" spans="2:15" x14ac:dyDescent="0.25">
      <c r="B4" t="s">
        <v>20</v>
      </c>
      <c r="D4" s="4">
        <v>15343137.300000001</v>
      </c>
      <c r="E4" s="33"/>
      <c r="G4" t="s">
        <v>189</v>
      </c>
      <c r="I4" s="32"/>
      <c r="J4" s="32"/>
      <c r="L4">
        <v>2014</v>
      </c>
      <c r="N4" s="4">
        <v>16801659.649999999</v>
      </c>
      <c r="O4" s="33"/>
    </row>
    <row r="5" spans="2:15" x14ac:dyDescent="0.25">
      <c r="C5">
        <v>2014</v>
      </c>
      <c r="D5" s="4">
        <v>3487344.88</v>
      </c>
      <c r="E5" s="33"/>
      <c r="H5">
        <v>2014</v>
      </c>
      <c r="I5" s="4">
        <v>13314314.77</v>
      </c>
      <c r="J5" s="33"/>
      <c r="M5" t="s">
        <v>194</v>
      </c>
      <c r="N5" s="4">
        <v>1413558.38</v>
      </c>
      <c r="O5" s="33"/>
    </row>
    <row r="6" spans="2:15" x14ac:dyDescent="0.25">
      <c r="C6">
        <v>2015</v>
      </c>
      <c r="D6" s="4">
        <v>3532977.44</v>
      </c>
      <c r="E6" s="33">
        <v>1.3085187032032319E-2</v>
      </c>
      <c r="H6">
        <v>2015</v>
      </c>
      <c r="I6" s="4">
        <v>13752138.58</v>
      </c>
      <c r="J6" s="33">
        <v>3.2883690791696729E-2</v>
      </c>
      <c r="M6" t="s">
        <v>195</v>
      </c>
      <c r="N6" s="4">
        <v>1184015.18</v>
      </c>
      <c r="O6" s="33"/>
    </row>
    <row r="7" spans="2:15" x14ac:dyDescent="0.25">
      <c r="C7">
        <v>2016</v>
      </c>
      <c r="D7" s="4">
        <v>3526000.58</v>
      </c>
      <c r="E7" s="33">
        <v>-1.9747819278460588E-3</v>
      </c>
      <c r="H7">
        <v>2016</v>
      </c>
      <c r="I7" s="4">
        <v>13152603.109999999</v>
      </c>
      <c r="J7" s="33">
        <v>-4.3595799046987183E-2</v>
      </c>
      <c r="M7" t="s">
        <v>196</v>
      </c>
      <c r="N7" s="4">
        <v>1575157.54</v>
      </c>
      <c r="O7" s="33"/>
    </row>
    <row r="8" spans="2:15" x14ac:dyDescent="0.25">
      <c r="C8">
        <v>2017</v>
      </c>
      <c r="D8" s="4">
        <v>4796814.4000000004</v>
      </c>
      <c r="E8" s="33">
        <v>0.36041225495203966</v>
      </c>
      <c r="H8">
        <v>2017</v>
      </c>
      <c r="I8" s="4">
        <v>18089479.940000001</v>
      </c>
      <c r="J8" s="33">
        <v>0.3753535926471061</v>
      </c>
      <c r="M8" t="s">
        <v>197</v>
      </c>
      <c r="N8" s="4">
        <v>1588078.85</v>
      </c>
      <c r="O8" s="33"/>
    </row>
    <row r="9" spans="2:15" x14ac:dyDescent="0.25">
      <c r="B9" t="s">
        <v>21</v>
      </c>
      <c r="D9" s="4">
        <v>30108004.84</v>
      </c>
      <c r="E9" s="33"/>
      <c r="G9" t="s">
        <v>190</v>
      </c>
      <c r="I9" s="4">
        <v>58308536.399999999</v>
      </c>
      <c r="J9" s="33"/>
      <c r="M9" t="s">
        <v>198</v>
      </c>
      <c r="N9" s="4">
        <v>1375542.03</v>
      </c>
      <c r="O9" s="33"/>
    </row>
    <row r="10" spans="2:15" x14ac:dyDescent="0.25">
      <c r="C10">
        <v>2014</v>
      </c>
      <c r="D10" s="4">
        <v>6921427.7400000002</v>
      </c>
      <c r="E10" s="33"/>
      <c r="G10" t="s">
        <v>191</v>
      </c>
      <c r="I10" s="32"/>
      <c r="J10" s="32"/>
      <c r="M10" t="s">
        <v>199</v>
      </c>
      <c r="N10" s="4">
        <v>1455015.21</v>
      </c>
      <c r="O10" s="33"/>
    </row>
    <row r="11" spans="2:15" x14ac:dyDescent="0.25">
      <c r="C11">
        <v>2015</v>
      </c>
      <c r="D11" s="4">
        <v>7115295.5599999996</v>
      </c>
      <c r="E11" s="33">
        <v>2.800980191985647E-2</v>
      </c>
      <c r="H11">
        <v>2014</v>
      </c>
      <c r="I11" s="4">
        <v>3487344.88</v>
      </c>
      <c r="J11" s="33"/>
      <c r="M11" t="s">
        <v>200</v>
      </c>
      <c r="N11" s="4">
        <v>1590647.27</v>
      </c>
      <c r="O11" s="33"/>
    </row>
    <row r="12" spans="2:15" x14ac:dyDescent="0.25">
      <c r="C12">
        <v>2016</v>
      </c>
      <c r="D12" s="4">
        <v>6822819.7699999996</v>
      </c>
      <c r="E12" s="33">
        <v>-4.1105220090112415E-2</v>
      </c>
      <c r="H12">
        <v>2015</v>
      </c>
      <c r="I12" s="4">
        <v>3532977.44</v>
      </c>
      <c r="J12" s="33">
        <v>1.3085187032032319E-2</v>
      </c>
      <c r="M12" t="s">
        <v>201</v>
      </c>
      <c r="N12" s="4">
        <v>1259695.8799999999</v>
      </c>
      <c r="O12" s="33"/>
    </row>
    <row r="13" spans="2:15" x14ac:dyDescent="0.25">
      <c r="C13">
        <v>2017</v>
      </c>
      <c r="D13" s="4">
        <v>9248461.7699999996</v>
      </c>
      <c r="E13" s="33">
        <v>0.35551899094060335</v>
      </c>
      <c r="H13">
        <v>2016</v>
      </c>
      <c r="I13" s="4">
        <v>3526000.58</v>
      </c>
      <c r="J13" s="33">
        <v>-1.9747819278460588E-3</v>
      </c>
      <c r="M13" t="s">
        <v>202</v>
      </c>
      <c r="N13" s="4">
        <v>1229232.1299999999</v>
      </c>
      <c r="O13" s="33"/>
    </row>
    <row r="14" spans="2:15" x14ac:dyDescent="0.25">
      <c r="B14" t="s">
        <v>22</v>
      </c>
      <c r="D14" s="4">
        <v>28200531.559999999</v>
      </c>
      <c r="E14" s="33"/>
      <c r="H14">
        <v>2017</v>
      </c>
      <c r="I14" s="4">
        <v>4796814.4000000004</v>
      </c>
      <c r="J14" s="33">
        <v>0.36041225495203966</v>
      </c>
      <c r="M14" t="s">
        <v>203</v>
      </c>
      <c r="N14" s="4">
        <v>1496185.56</v>
      </c>
      <c r="O14" s="33"/>
    </row>
    <row r="15" spans="2:15" x14ac:dyDescent="0.25">
      <c r="C15">
        <v>2014</v>
      </c>
      <c r="D15" s="4">
        <v>6392887.0300000003</v>
      </c>
      <c r="E15" s="33"/>
      <c r="G15" t="s">
        <v>192</v>
      </c>
      <c r="I15" s="4">
        <v>15343137.300000001</v>
      </c>
      <c r="J15" s="33"/>
      <c r="M15" t="s">
        <v>204</v>
      </c>
      <c r="N15" s="4">
        <v>1195778.83</v>
      </c>
      <c r="O15" s="33"/>
    </row>
    <row r="16" spans="2:15" x14ac:dyDescent="0.25">
      <c r="C16">
        <v>2015</v>
      </c>
      <c r="D16" s="4">
        <v>6636843.0199999996</v>
      </c>
      <c r="E16" s="33">
        <v>3.81605351158536E-2</v>
      </c>
      <c r="G16" t="s">
        <v>23</v>
      </c>
      <c r="I16" s="4">
        <v>73651673.700000003</v>
      </c>
      <c r="J16" s="33"/>
      <c r="M16" t="s">
        <v>205</v>
      </c>
      <c r="N16" s="4">
        <v>1438752.79</v>
      </c>
      <c r="O16" s="33"/>
    </row>
    <row r="17" spans="2:15" x14ac:dyDescent="0.25">
      <c r="C17">
        <v>2016</v>
      </c>
      <c r="D17" s="4">
        <v>6329783.3399999999</v>
      </c>
      <c r="E17" s="33">
        <v>-4.6265924789042234E-2</v>
      </c>
      <c r="L17">
        <v>2015</v>
      </c>
      <c r="N17" s="4">
        <v>17285116.02</v>
      </c>
      <c r="O17" s="33">
        <v>2.8774322303332767E-2</v>
      </c>
    </row>
    <row r="18" spans="2:15" x14ac:dyDescent="0.25">
      <c r="C18">
        <v>2017</v>
      </c>
      <c r="D18" s="4">
        <v>8841018.1699999999</v>
      </c>
      <c r="E18" s="33">
        <v>0.3967331415801667</v>
      </c>
      <c r="M18" t="s">
        <v>194</v>
      </c>
      <c r="N18" s="4">
        <v>1474516.66</v>
      </c>
      <c r="O18" s="33">
        <v>4.3123991808530659E-2</v>
      </c>
    </row>
    <row r="19" spans="2:15" x14ac:dyDescent="0.25">
      <c r="B19" t="s">
        <v>23</v>
      </c>
      <c r="D19" s="4">
        <v>73651673.700000003</v>
      </c>
      <c r="E19" s="33"/>
      <c r="M19" t="s">
        <v>195</v>
      </c>
      <c r="N19" s="4">
        <v>1379003.81</v>
      </c>
      <c r="O19" s="33">
        <v>0.16468423149777522</v>
      </c>
    </row>
    <row r="20" spans="2:15" x14ac:dyDescent="0.25">
      <c r="M20" t="s">
        <v>196</v>
      </c>
      <c r="N20" s="4">
        <v>1365924.48</v>
      </c>
      <c r="O20" s="33">
        <v>-0.13283310061798648</v>
      </c>
    </row>
    <row r="21" spans="2:15" x14ac:dyDescent="0.25">
      <c r="M21" t="s">
        <v>197</v>
      </c>
      <c r="N21" s="4">
        <v>1294017.31</v>
      </c>
      <c r="O21" s="33">
        <v>-0.18516809791906741</v>
      </c>
    </row>
    <row r="22" spans="2:15" x14ac:dyDescent="0.25">
      <c r="M22" t="s">
        <v>198</v>
      </c>
      <c r="N22" s="4">
        <v>1371823.95</v>
      </c>
      <c r="O22" s="33">
        <v>-2.7029926522855741E-3</v>
      </c>
    </row>
    <row r="23" spans="2:15" x14ac:dyDescent="0.25">
      <c r="M23" t="s">
        <v>199</v>
      </c>
      <c r="N23" s="4">
        <v>1477108.58</v>
      </c>
      <c r="O23" s="33">
        <v>1.5184288004796764E-2</v>
      </c>
    </row>
    <row r="24" spans="2:15" x14ac:dyDescent="0.25">
      <c r="M24" t="s">
        <v>200</v>
      </c>
      <c r="N24" s="4">
        <v>1726508.27</v>
      </c>
      <c r="O24" s="33">
        <v>8.541239944415846E-2</v>
      </c>
    </row>
    <row r="25" spans="2:15" x14ac:dyDescent="0.25">
      <c r="M25" t="s">
        <v>201</v>
      </c>
      <c r="N25" s="4">
        <v>1372008.08</v>
      </c>
      <c r="O25" s="33">
        <v>8.9158186339388434E-2</v>
      </c>
    </row>
    <row r="26" spans="2:15" x14ac:dyDescent="0.25">
      <c r="M26" t="s">
        <v>202</v>
      </c>
      <c r="N26" s="4">
        <v>1495088.81</v>
      </c>
      <c r="O26" s="33">
        <v>0.21627866170403465</v>
      </c>
    </row>
    <row r="27" spans="2:15" x14ac:dyDescent="0.25">
      <c r="M27" t="s">
        <v>203</v>
      </c>
      <c r="N27" s="4">
        <v>1594028.71</v>
      </c>
      <c r="O27" s="33">
        <v>6.5395063697847755E-2</v>
      </c>
    </row>
    <row r="28" spans="2:15" x14ac:dyDescent="0.25">
      <c r="M28" t="s">
        <v>204</v>
      </c>
      <c r="N28" s="4">
        <v>1214748.73</v>
      </c>
      <c r="O28" s="33">
        <v>1.5864054057555199E-2</v>
      </c>
    </row>
    <row r="29" spans="2:15" x14ac:dyDescent="0.25">
      <c r="M29" t="s">
        <v>205</v>
      </c>
      <c r="N29" s="4">
        <v>1520338.63</v>
      </c>
      <c r="O29" s="33">
        <v>5.6705947378214994E-2</v>
      </c>
    </row>
    <row r="30" spans="2:15" x14ac:dyDescent="0.25">
      <c r="L30">
        <v>2016</v>
      </c>
      <c r="N30" s="4">
        <v>16678603.689999999</v>
      </c>
      <c r="O30" s="33">
        <v>-3.5088704599854914E-2</v>
      </c>
    </row>
    <row r="31" spans="2:15" x14ac:dyDescent="0.25">
      <c r="M31" t="s">
        <v>194</v>
      </c>
      <c r="N31" s="4">
        <v>1344167.29</v>
      </c>
      <c r="O31" s="33">
        <v>-8.8401422334556723E-2</v>
      </c>
    </row>
    <row r="32" spans="2:15" x14ac:dyDescent="0.25">
      <c r="M32" t="s">
        <v>195</v>
      </c>
      <c r="N32" s="4">
        <v>1107870.1200000001</v>
      </c>
      <c r="O32" s="33">
        <v>-0.19661562066315108</v>
      </c>
    </row>
    <row r="33" spans="12:15" x14ac:dyDescent="0.25">
      <c r="M33" t="s">
        <v>196</v>
      </c>
      <c r="N33" s="4">
        <v>1441809.27</v>
      </c>
      <c r="O33" s="33">
        <v>5.5555626325695551E-2</v>
      </c>
    </row>
    <row r="34" spans="12:15" x14ac:dyDescent="0.25">
      <c r="M34" t="s">
        <v>197</v>
      </c>
      <c r="N34" s="4">
        <v>1339860.4099999999</v>
      </c>
      <c r="O34" s="33">
        <v>3.5426960401325758E-2</v>
      </c>
    </row>
    <row r="35" spans="12:15" x14ac:dyDescent="0.25">
      <c r="M35" t="s">
        <v>198</v>
      </c>
      <c r="N35" s="4">
        <v>1500016.66</v>
      </c>
      <c r="O35" s="33">
        <v>9.3446910589365384E-2</v>
      </c>
    </row>
    <row r="36" spans="12:15" x14ac:dyDescent="0.25">
      <c r="M36" t="s">
        <v>199</v>
      </c>
      <c r="N36" s="4">
        <v>1440979.16</v>
      </c>
      <c r="O36" s="33">
        <v>-2.4459555979290282E-2</v>
      </c>
    </row>
    <row r="37" spans="12:15" x14ac:dyDescent="0.25">
      <c r="M37" t="s">
        <v>200</v>
      </c>
      <c r="N37" s="4">
        <v>1516469.27</v>
      </c>
      <c r="O37" s="33">
        <v>-0.1216553686128593</v>
      </c>
    </row>
    <row r="38" spans="12:15" x14ac:dyDescent="0.25">
      <c r="M38" t="s">
        <v>201</v>
      </c>
      <c r="N38" s="4">
        <v>1497228.86</v>
      </c>
      <c r="O38" s="33">
        <v>9.1268252589299603E-2</v>
      </c>
    </row>
    <row r="39" spans="12:15" x14ac:dyDescent="0.25">
      <c r="M39" t="s">
        <v>202</v>
      </c>
      <c r="N39" s="4">
        <v>1440432.28</v>
      </c>
      <c r="O39" s="33">
        <v>-3.6557380159911723E-2</v>
      </c>
    </row>
    <row r="40" spans="12:15" x14ac:dyDescent="0.25">
      <c r="M40" t="s">
        <v>203</v>
      </c>
      <c r="N40" s="4">
        <v>1334821.1200000001</v>
      </c>
      <c r="O40" s="33">
        <v>-0.16261161946073099</v>
      </c>
    </row>
    <row r="41" spans="12:15" x14ac:dyDescent="0.25">
      <c r="M41" t="s">
        <v>204</v>
      </c>
      <c r="N41" s="4">
        <v>1306661.42</v>
      </c>
      <c r="O41" s="33">
        <v>7.5663952330289774E-2</v>
      </c>
    </row>
    <row r="42" spans="12:15" x14ac:dyDescent="0.25">
      <c r="M42" t="s">
        <v>205</v>
      </c>
      <c r="N42" s="4">
        <v>1408287.83</v>
      </c>
      <c r="O42" s="33">
        <v>-7.370121220954573E-2</v>
      </c>
    </row>
    <row r="43" spans="12:15" x14ac:dyDescent="0.25">
      <c r="L43">
        <v>2017</v>
      </c>
      <c r="N43" s="4">
        <v>22886294.34</v>
      </c>
      <c r="O43" s="33">
        <v>0.37219486507266475</v>
      </c>
    </row>
    <row r="44" spans="12:15" x14ac:dyDescent="0.25">
      <c r="M44" t="s">
        <v>194</v>
      </c>
      <c r="N44" s="4">
        <v>1958518</v>
      </c>
      <c r="O44" s="33">
        <v>0.45704929332122046</v>
      </c>
    </row>
    <row r="45" spans="12:15" x14ac:dyDescent="0.25">
      <c r="M45" t="s">
        <v>195</v>
      </c>
      <c r="N45" s="4">
        <v>1800573.16</v>
      </c>
      <c r="O45" s="33">
        <v>0.625256541804738</v>
      </c>
    </row>
    <row r="46" spans="12:15" x14ac:dyDescent="0.25">
      <c r="M46" t="s">
        <v>196</v>
      </c>
      <c r="N46" s="4">
        <v>1841253.8</v>
      </c>
      <c r="O46" s="33">
        <v>0.27704394631891915</v>
      </c>
    </row>
    <row r="47" spans="12:15" x14ac:dyDescent="0.25">
      <c r="M47" t="s">
        <v>197</v>
      </c>
      <c r="N47" s="4">
        <v>1872803.47</v>
      </c>
      <c r="O47" s="33">
        <v>0.39776013681902889</v>
      </c>
    </row>
    <row r="48" spans="12:15" x14ac:dyDescent="0.25">
      <c r="M48" t="s">
        <v>198</v>
      </c>
      <c r="N48" s="4">
        <v>1863495.26</v>
      </c>
      <c r="O48" s="33">
        <v>0.24231637533945793</v>
      </c>
    </row>
    <row r="49" spans="12:15" x14ac:dyDescent="0.25">
      <c r="M49" t="s">
        <v>199</v>
      </c>
      <c r="N49" s="4">
        <v>1971680.67</v>
      </c>
      <c r="O49" s="33">
        <v>0.36829228675312686</v>
      </c>
    </row>
    <row r="50" spans="12:15" x14ac:dyDescent="0.25">
      <c r="M50" t="s">
        <v>200</v>
      </c>
      <c r="N50" s="4">
        <v>1882034.01</v>
      </c>
      <c r="O50" s="33">
        <v>0.24106307145940375</v>
      </c>
    </row>
    <row r="51" spans="12:15" x14ac:dyDescent="0.25">
      <c r="M51" t="s">
        <v>201</v>
      </c>
      <c r="N51" s="4">
        <v>1993615.52</v>
      </c>
      <c r="O51" s="33">
        <v>0.33153693016577312</v>
      </c>
    </row>
    <row r="52" spans="12:15" x14ac:dyDescent="0.25">
      <c r="M52" t="s">
        <v>202</v>
      </c>
      <c r="N52" s="4">
        <v>1919413.82</v>
      </c>
      <c r="O52" s="33">
        <v>0.33252624691248944</v>
      </c>
    </row>
    <row r="53" spans="12:15" x14ac:dyDescent="0.25">
      <c r="M53" t="s">
        <v>203</v>
      </c>
      <c r="N53" s="4">
        <v>1956964.68</v>
      </c>
      <c r="O53" s="33">
        <v>0.46608759082265649</v>
      </c>
    </row>
    <row r="54" spans="12:15" x14ac:dyDescent="0.25">
      <c r="M54" t="s">
        <v>204</v>
      </c>
      <c r="N54" s="4">
        <v>1971952.54</v>
      </c>
      <c r="O54" s="33">
        <v>0.50915341175375017</v>
      </c>
    </row>
    <row r="55" spans="12:15" x14ac:dyDescent="0.25">
      <c r="M55" t="s">
        <v>205</v>
      </c>
      <c r="N55" s="4">
        <v>1853989.41</v>
      </c>
      <c r="O55" s="33">
        <v>0.3164847203145964</v>
      </c>
    </row>
    <row r="56" spans="12:15" x14ac:dyDescent="0.25">
      <c r="L56" t="s">
        <v>23</v>
      </c>
      <c r="N56" s="4">
        <v>73651673.700000003</v>
      </c>
      <c r="O56" s="33"/>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FF00"/>
  </sheetPr>
  <dimension ref="A1:J23"/>
  <sheetViews>
    <sheetView zoomScale="145" zoomScaleNormal="145" workbookViewId="0">
      <selection activeCell="B15" sqref="B15"/>
    </sheetView>
  </sheetViews>
  <sheetFormatPr defaultRowHeight="15" x14ac:dyDescent="0.25"/>
  <cols>
    <col min="8" max="8" width="14.28515625" customWidth="1"/>
    <col min="9" max="9" width="7.28515625" customWidth="1"/>
    <col min="10" max="10" width="17.7109375" bestFit="1" customWidth="1"/>
  </cols>
  <sheetData>
    <row r="1" spans="1:10" x14ac:dyDescent="0.25">
      <c r="A1" t="s">
        <v>8</v>
      </c>
    </row>
    <row r="2" spans="1:10" x14ac:dyDescent="0.25">
      <c r="A2" t="s">
        <v>25</v>
      </c>
    </row>
    <row r="3" spans="1:10" x14ac:dyDescent="0.25">
      <c r="A3" t="s">
        <v>7</v>
      </c>
    </row>
    <row r="4" spans="1:10" x14ac:dyDescent="0.25">
      <c r="A4" t="s">
        <v>0</v>
      </c>
    </row>
    <row r="5" spans="1:10" x14ac:dyDescent="0.25">
      <c r="A5" t="s">
        <v>9</v>
      </c>
    </row>
    <row r="7" spans="1:10" x14ac:dyDescent="0.25">
      <c r="A7" s="2" t="s">
        <v>12</v>
      </c>
      <c r="D7" s="2" t="s">
        <v>18</v>
      </c>
      <c r="H7" s="3" t="s">
        <v>26</v>
      </c>
      <c r="I7" s="3" t="s">
        <v>27</v>
      </c>
      <c r="J7" t="s">
        <v>24</v>
      </c>
    </row>
    <row r="8" spans="1:10" x14ac:dyDescent="0.25">
      <c r="A8" t="s">
        <v>1</v>
      </c>
      <c r="D8" t="s">
        <v>19</v>
      </c>
      <c r="H8" t="s">
        <v>20</v>
      </c>
      <c r="J8" s="4">
        <v>15343137.300000001</v>
      </c>
    </row>
    <row r="9" spans="1:10" x14ac:dyDescent="0.25">
      <c r="A9" t="s">
        <v>3</v>
      </c>
      <c r="D9" t="s">
        <v>14</v>
      </c>
      <c r="I9">
        <v>2014</v>
      </c>
      <c r="J9" s="4">
        <v>3487344.88</v>
      </c>
    </row>
    <row r="10" spans="1:10" x14ac:dyDescent="0.25">
      <c r="A10" s="1" t="s">
        <v>6</v>
      </c>
      <c r="D10" t="s">
        <v>17</v>
      </c>
      <c r="I10">
        <v>2015</v>
      </c>
      <c r="J10" s="4">
        <v>3532977.44</v>
      </c>
    </row>
    <row r="11" spans="1:10" x14ac:dyDescent="0.25">
      <c r="A11" s="1" t="s">
        <v>4</v>
      </c>
      <c r="D11" t="s">
        <v>16</v>
      </c>
      <c r="I11">
        <v>2016</v>
      </c>
      <c r="J11" s="4">
        <v>3526000.58</v>
      </c>
    </row>
    <row r="12" spans="1:10" x14ac:dyDescent="0.25">
      <c r="A12" s="1" t="s">
        <v>5</v>
      </c>
      <c r="I12">
        <v>2017</v>
      </c>
      <c r="J12" s="4">
        <v>4796814.4000000004</v>
      </c>
    </row>
    <row r="13" spans="1:10" x14ac:dyDescent="0.25">
      <c r="A13" t="s">
        <v>2</v>
      </c>
      <c r="H13" t="s">
        <v>21</v>
      </c>
      <c r="J13" s="4">
        <v>30108004.84</v>
      </c>
    </row>
    <row r="14" spans="1:10" x14ac:dyDescent="0.25">
      <c r="A14" t="s">
        <v>11</v>
      </c>
      <c r="I14">
        <v>2014</v>
      </c>
      <c r="J14" s="4">
        <v>6921427.7400000002</v>
      </c>
    </row>
    <row r="15" spans="1:10" x14ac:dyDescent="0.25">
      <c r="A15" t="s">
        <v>10</v>
      </c>
      <c r="I15">
        <v>2015</v>
      </c>
      <c r="J15" s="4">
        <v>7115295.5599999996</v>
      </c>
    </row>
    <row r="16" spans="1:10" x14ac:dyDescent="0.25">
      <c r="A16" t="s">
        <v>13</v>
      </c>
      <c r="I16">
        <v>2016</v>
      </c>
      <c r="J16" s="4">
        <v>6822819.7699999996</v>
      </c>
    </row>
    <row r="17" spans="1:10" x14ac:dyDescent="0.25">
      <c r="A17" t="s">
        <v>14</v>
      </c>
      <c r="I17">
        <v>2017</v>
      </c>
      <c r="J17" s="4">
        <v>9248461.7699999996</v>
      </c>
    </row>
    <row r="18" spans="1:10" x14ac:dyDescent="0.25">
      <c r="A18" t="s">
        <v>15</v>
      </c>
      <c r="H18" t="s">
        <v>22</v>
      </c>
      <c r="J18" s="4">
        <v>28200531.559999999</v>
      </c>
    </row>
    <row r="19" spans="1:10" x14ac:dyDescent="0.25">
      <c r="I19">
        <v>2014</v>
      </c>
      <c r="J19" s="4">
        <v>6392887.0300000003</v>
      </c>
    </row>
    <row r="20" spans="1:10" x14ac:dyDescent="0.25">
      <c r="I20">
        <v>2015</v>
      </c>
      <c r="J20" s="4">
        <v>6636843.0199999996</v>
      </c>
    </row>
    <row r="21" spans="1:10" x14ac:dyDescent="0.25">
      <c r="I21">
        <v>2016</v>
      </c>
      <c r="J21" s="4">
        <v>6329783.3399999999</v>
      </c>
    </row>
    <row r="22" spans="1:10" x14ac:dyDescent="0.25">
      <c r="I22">
        <v>2017</v>
      </c>
      <c r="J22" s="4">
        <v>8841018.1699999999</v>
      </c>
    </row>
    <row r="23" spans="1:10" x14ac:dyDescent="0.25">
      <c r="H23" t="s">
        <v>23</v>
      </c>
      <c r="J23" s="4">
        <v>73651673.700000003</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sheetPr>
  <dimension ref="A1:B21"/>
  <sheetViews>
    <sheetView topLeftCell="A16" workbookViewId="0">
      <selection activeCell="B19" sqref="B19"/>
    </sheetView>
  </sheetViews>
  <sheetFormatPr defaultRowHeight="15" x14ac:dyDescent="0.25"/>
  <cols>
    <col min="1" max="1" width="3.7109375" customWidth="1"/>
    <col min="2" max="2" width="128.42578125" customWidth="1"/>
  </cols>
  <sheetData>
    <row r="1" spans="1:2" ht="23.25" x14ac:dyDescent="0.35">
      <c r="A1" s="30" t="s">
        <v>165</v>
      </c>
      <c r="B1" s="30"/>
    </row>
    <row r="2" spans="1:2" ht="30" x14ac:dyDescent="0.25">
      <c r="A2" s="15"/>
      <c r="B2" s="8" t="s">
        <v>166</v>
      </c>
    </row>
    <row r="3" spans="1:2" ht="30" x14ac:dyDescent="0.25">
      <c r="A3" s="15"/>
      <c r="B3" s="8" t="s">
        <v>167</v>
      </c>
    </row>
    <row r="4" spans="1:2" x14ac:dyDescent="0.25">
      <c r="A4" s="15"/>
      <c r="B4" s="8" t="s">
        <v>168</v>
      </c>
    </row>
    <row r="5" spans="1:2" ht="75" x14ac:dyDescent="0.25">
      <c r="A5" s="15"/>
      <c r="B5" s="8" t="s">
        <v>169</v>
      </c>
    </row>
    <row r="6" spans="1:2" x14ac:dyDescent="0.25">
      <c r="A6" s="15"/>
      <c r="B6" s="8" t="s">
        <v>170</v>
      </c>
    </row>
    <row r="7" spans="1:2" ht="30" x14ac:dyDescent="0.25">
      <c r="A7" s="15"/>
      <c r="B7" s="8" t="s">
        <v>171</v>
      </c>
    </row>
    <row r="8" spans="1:2" x14ac:dyDescent="0.25">
      <c r="A8" s="15"/>
      <c r="B8" s="10" t="s">
        <v>172</v>
      </c>
    </row>
    <row r="9" spans="1:2" x14ac:dyDescent="0.25">
      <c r="A9" s="15">
        <v>1</v>
      </c>
      <c r="B9" s="8" t="s">
        <v>173</v>
      </c>
    </row>
    <row r="10" spans="1:2" x14ac:dyDescent="0.25">
      <c r="A10" s="15">
        <v>2</v>
      </c>
      <c r="B10" s="8" t="s">
        <v>174</v>
      </c>
    </row>
    <row r="11" spans="1:2" x14ac:dyDescent="0.25">
      <c r="A11" s="14">
        <v>3</v>
      </c>
      <c r="B11" s="29" t="s">
        <v>175</v>
      </c>
    </row>
    <row r="12" spans="1:2" ht="210" x14ac:dyDescent="0.25">
      <c r="A12" s="15"/>
      <c r="B12" s="8" t="s">
        <v>176</v>
      </c>
    </row>
    <row r="13" spans="1:2" ht="45" x14ac:dyDescent="0.25">
      <c r="A13" s="14">
        <v>4</v>
      </c>
      <c r="B13" s="29" t="s">
        <v>177</v>
      </c>
    </row>
    <row r="14" spans="1:2" x14ac:dyDescent="0.25">
      <c r="A14" s="14">
        <v>4</v>
      </c>
      <c r="B14" s="29" t="s">
        <v>178</v>
      </c>
    </row>
    <row r="15" spans="1:2" ht="180" x14ac:dyDescent="0.25">
      <c r="A15" s="15"/>
      <c r="B15" s="8" t="s">
        <v>179</v>
      </c>
    </row>
    <row r="16" spans="1:2" x14ac:dyDescent="0.25">
      <c r="A16" s="15">
        <v>5</v>
      </c>
      <c r="B16" s="8" t="s">
        <v>180</v>
      </c>
    </row>
    <row r="17" spans="1:2" x14ac:dyDescent="0.25">
      <c r="A17" s="15">
        <v>6</v>
      </c>
      <c r="B17" s="8" t="s">
        <v>181</v>
      </c>
    </row>
    <row r="18" spans="1:2" x14ac:dyDescent="0.25">
      <c r="A18" s="15">
        <v>7</v>
      </c>
      <c r="B18" s="8" t="s">
        <v>182</v>
      </c>
    </row>
    <row r="19" spans="1:2" ht="90" x14ac:dyDescent="0.25">
      <c r="A19" s="15"/>
      <c r="B19" s="8" t="s">
        <v>185</v>
      </c>
    </row>
    <row r="20" spans="1:2" x14ac:dyDescent="0.25">
      <c r="A20" s="13">
        <v>8</v>
      </c>
      <c r="B20" s="31" t="s">
        <v>183</v>
      </c>
    </row>
    <row r="21" spans="1:2" ht="45" x14ac:dyDescent="0.25">
      <c r="A21" s="13">
        <v>9</v>
      </c>
      <c r="B21" s="8" t="s">
        <v>184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sheetPr>
  <dimension ref="A1:B17"/>
  <sheetViews>
    <sheetView zoomScaleNormal="100" workbookViewId="0"/>
  </sheetViews>
  <sheetFormatPr defaultRowHeight="15" x14ac:dyDescent="0.25"/>
  <cols>
    <col min="1" max="2" width="66.140625" customWidth="1"/>
  </cols>
  <sheetData>
    <row r="1" spans="1:2" x14ac:dyDescent="0.25">
      <c r="A1" s="6"/>
    </row>
    <row r="2" spans="1:2" ht="15.75" x14ac:dyDescent="0.25">
      <c r="A2" s="7" t="s">
        <v>29</v>
      </c>
      <c r="B2" s="7" t="s">
        <v>30</v>
      </c>
    </row>
    <row r="3" spans="1:2" x14ac:dyDescent="0.25">
      <c r="A3" s="8" t="s">
        <v>31</v>
      </c>
      <c r="B3" s="8" t="s">
        <v>32</v>
      </c>
    </row>
    <row r="4" spans="1:2" ht="135" x14ac:dyDescent="0.25">
      <c r="A4" s="8" t="s">
        <v>33</v>
      </c>
      <c r="B4" s="9" t="s">
        <v>34</v>
      </c>
    </row>
    <row r="5" spans="1:2" ht="60" x14ac:dyDescent="0.25">
      <c r="A5" s="8"/>
      <c r="B5" s="8" t="s">
        <v>186</v>
      </c>
    </row>
    <row r="6" spans="1:2" x14ac:dyDescent="0.25">
      <c r="A6" s="8" t="s">
        <v>35</v>
      </c>
      <c r="B6" s="8" t="s">
        <v>36</v>
      </c>
    </row>
    <row r="7" spans="1:2" x14ac:dyDescent="0.25">
      <c r="A7" s="8" t="s">
        <v>37</v>
      </c>
      <c r="B7" s="8" t="s">
        <v>38</v>
      </c>
    </row>
    <row r="8" spans="1:2" ht="60" x14ac:dyDescent="0.25">
      <c r="A8" s="8" t="s">
        <v>39</v>
      </c>
      <c r="B8" s="8" t="s">
        <v>40</v>
      </c>
    </row>
    <row r="9" spans="1:2" x14ac:dyDescent="0.25">
      <c r="A9" s="8" t="s">
        <v>41</v>
      </c>
      <c r="B9" s="8" t="s">
        <v>42</v>
      </c>
    </row>
    <row r="10" spans="1:2" ht="45" x14ac:dyDescent="0.25">
      <c r="A10" s="8"/>
      <c r="B10" s="8" t="s">
        <v>43</v>
      </c>
    </row>
    <row r="11" spans="1:2" ht="45" x14ac:dyDescent="0.25">
      <c r="A11" s="8"/>
      <c r="B11" s="8" t="s">
        <v>44</v>
      </c>
    </row>
    <row r="12" spans="1:2" ht="45" x14ac:dyDescent="0.25">
      <c r="A12" s="8" t="s">
        <v>45</v>
      </c>
      <c r="B12" s="8" t="s">
        <v>46</v>
      </c>
    </row>
    <row r="13" spans="1:2" ht="30" x14ac:dyDescent="0.25">
      <c r="A13" s="8" t="s">
        <v>47</v>
      </c>
      <c r="B13" s="8" t="s">
        <v>47</v>
      </c>
    </row>
    <row r="14" spans="1:2" x14ac:dyDescent="0.25">
      <c r="A14" s="10" t="s">
        <v>48</v>
      </c>
      <c r="B14" s="10" t="s">
        <v>49</v>
      </c>
    </row>
    <row r="15" spans="1:2" ht="30" x14ac:dyDescent="0.25">
      <c r="A15" s="8" t="s">
        <v>50</v>
      </c>
      <c r="B15" s="8" t="s">
        <v>51</v>
      </c>
    </row>
    <row r="16" spans="1:2" ht="45" x14ac:dyDescent="0.25">
      <c r="A16" s="8" t="s">
        <v>52</v>
      </c>
      <c r="B16" s="8" t="s">
        <v>53</v>
      </c>
    </row>
    <row r="17" spans="1:2" x14ac:dyDescent="0.25">
      <c r="A17" s="8"/>
      <c r="B17" s="8"/>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sheetPr>
  <dimension ref="A1:C24"/>
  <sheetViews>
    <sheetView workbookViewId="0">
      <selection activeCell="B19" sqref="B19"/>
    </sheetView>
  </sheetViews>
  <sheetFormatPr defaultRowHeight="15" x14ac:dyDescent="0.25"/>
  <cols>
    <col min="1" max="1" width="20.42578125" customWidth="1"/>
    <col min="2" max="2" width="12.85546875" customWidth="1"/>
    <col min="3" max="3" width="12.42578125" customWidth="1"/>
  </cols>
  <sheetData>
    <row r="1" spans="1:3" x14ac:dyDescent="0.25">
      <c r="A1" t="s">
        <v>54</v>
      </c>
    </row>
    <row r="2" spans="1:3" x14ac:dyDescent="0.25">
      <c r="A2" t="s">
        <v>55</v>
      </c>
    </row>
    <row r="3" spans="1:3" x14ac:dyDescent="0.25">
      <c r="A3" t="s">
        <v>56</v>
      </c>
    </row>
    <row r="4" spans="1:3" x14ac:dyDescent="0.25">
      <c r="A4" t="s">
        <v>57</v>
      </c>
    </row>
    <row r="6" spans="1:3" x14ac:dyDescent="0.25">
      <c r="A6" s="11" t="s">
        <v>58</v>
      </c>
      <c r="B6" s="11" t="s">
        <v>59</v>
      </c>
      <c r="C6" s="11" t="s">
        <v>60</v>
      </c>
    </row>
    <row r="7" spans="1:3" x14ac:dyDescent="0.25">
      <c r="A7" s="12" t="s">
        <v>61</v>
      </c>
      <c r="B7" s="13" t="s">
        <v>62</v>
      </c>
      <c r="C7" s="12" t="s">
        <v>63</v>
      </c>
    </row>
    <row r="8" spans="1:3" x14ac:dyDescent="0.25">
      <c r="A8" s="12" t="s">
        <v>64</v>
      </c>
      <c r="B8" s="13">
        <v>5</v>
      </c>
      <c r="C8" s="12">
        <v>5</v>
      </c>
    </row>
    <row r="9" spans="1:3" x14ac:dyDescent="0.25">
      <c r="A9" s="12" t="s">
        <v>65</v>
      </c>
      <c r="B9" s="13">
        <v>-12</v>
      </c>
      <c r="C9" s="12">
        <v>-12</v>
      </c>
    </row>
    <row r="10" spans="1:3" x14ac:dyDescent="0.25">
      <c r="A10" s="12" t="s">
        <v>66</v>
      </c>
      <c r="B10" s="13" t="s">
        <v>62</v>
      </c>
      <c r="C10" s="12" t="s">
        <v>63</v>
      </c>
    </row>
    <row r="11" spans="1:3" x14ac:dyDescent="0.25">
      <c r="A11" s="12" t="s">
        <v>67</v>
      </c>
      <c r="B11" s="13" t="s">
        <v>68</v>
      </c>
      <c r="C11" s="12" t="s">
        <v>69</v>
      </c>
    </row>
    <row r="12" spans="1:3" x14ac:dyDescent="0.25">
      <c r="A12" s="12" t="s">
        <v>70</v>
      </c>
      <c r="B12" s="13" t="s">
        <v>71</v>
      </c>
      <c r="C12" s="12" t="s">
        <v>69</v>
      </c>
    </row>
    <row r="13" spans="1:3" x14ac:dyDescent="0.25">
      <c r="A13" s="12" t="s">
        <v>72</v>
      </c>
      <c r="B13" s="13" t="s">
        <v>62</v>
      </c>
      <c r="C13" s="12" t="s">
        <v>63</v>
      </c>
    </row>
    <row r="14" spans="1:3" x14ac:dyDescent="0.25">
      <c r="A14" s="12" t="s">
        <v>73</v>
      </c>
      <c r="B14" s="13" t="s">
        <v>62</v>
      </c>
      <c r="C14" s="12" t="s">
        <v>69</v>
      </c>
    </row>
    <row r="15" spans="1:3" x14ac:dyDescent="0.25">
      <c r="A15" s="14" t="s">
        <v>74</v>
      </c>
      <c r="B15" s="15" t="b">
        <v>0</v>
      </c>
      <c r="C15" s="14" t="b">
        <v>0</v>
      </c>
    </row>
    <row r="16" spans="1:3" x14ac:dyDescent="0.25">
      <c r="A16" s="14" t="s">
        <v>75</v>
      </c>
      <c r="B16" s="15" t="b">
        <v>0</v>
      </c>
      <c r="C16" s="14" t="b">
        <v>0</v>
      </c>
    </row>
    <row r="17" spans="1:3" x14ac:dyDescent="0.25">
      <c r="A17" s="14" t="s">
        <v>76</v>
      </c>
      <c r="B17" s="15" t="b">
        <v>1</v>
      </c>
      <c r="C17" s="14" t="b">
        <v>1</v>
      </c>
    </row>
    <row r="18" spans="1:3" ht="17.25" x14ac:dyDescent="0.3">
      <c r="A18" s="12" t="s">
        <v>77</v>
      </c>
      <c r="B18" s="16" t="b">
        <v>0</v>
      </c>
      <c r="C18" s="12" t="b">
        <v>1</v>
      </c>
    </row>
    <row r="19" spans="1:3" ht="17.25" x14ac:dyDescent="0.3">
      <c r="A19" s="12" t="s">
        <v>78</v>
      </c>
      <c r="B19" s="16" t="s">
        <v>62</v>
      </c>
      <c r="C19" s="12" t="s">
        <v>69</v>
      </c>
    </row>
    <row r="20" spans="1:3" ht="17.25" x14ac:dyDescent="0.3">
      <c r="A20" s="12" t="s">
        <v>79</v>
      </c>
      <c r="B20" s="16" t="s">
        <v>62</v>
      </c>
      <c r="C20" s="12" t="s">
        <v>69</v>
      </c>
    </row>
    <row r="21" spans="1:3" ht="17.25" x14ac:dyDescent="0.3">
      <c r="A21" s="5"/>
      <c r="B21" s="17"/>
      <c r="C21" s="5"/>
    </row>
    <row r="22" spans="1:3" ht="17.25" x14ac:dyDescent="0.3">
      <c r="A22" s="18" t="b">
        <f>AND(B22,C22)</f>
        <v>1</v>
      </c>
      <c r="B22" s="19" t="b">
        <v>1</v>
      </c>
      <c r="C22" s="20"/>
    </row>
    <row r="23" spans="1:3" ht="17.25" x14ac:dyDescent="0.3">
      <c r="A23" s="21" t="e">
        <f>OR(B23,C23)</f>
        <v>#VALUE!</v>
      </c>
      <c r="B23" s="22"/>
      <c r="C23" s="23"/>
    </row>
    <row r="24" spans="1:3" ht="17.25" x14ac:dyDescent="0.3">
      <c r="A24" s="24" t="e">
        <f>AND(B24,C24)</f>
        <v>#VALUE!</v>
      </c>
      <c r="B24" s="25"/>
      <c r="C24" s="26"/>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FF00"/>
  </sheetPr>
  <dimension ref="A1:D18"/>
  <sheetViews>
    <sheetView workbookViewId="0">
      <selection activeCell="B19" sqref="B19"/>
    </sheetView>
  </sheetViews>
  <sheetFormatPr defaultRowHeight="15" x14ac:dyDescent="0.25"/>
  <cols>
    <col min="1" max="1" width="15.7109375" customWidth="1"/>
    <col min="2" max="2" width="24" customWidth="1"/>
    <col min="3" max="3" width="19.28515625" customWidth="1"/>
    <col min="4" max="4" width="32.85546875" customWidth="1"/>
  </cols>
  <sheetData>
    <row r="1" spans="1:4" x14ac:dyDescent="0.25">
      <c r="A1" s="35" t="s">
        <v>80</v>
      </c>
      <c r="B1" s="35"/>
      <c r="C1" s="35"/>
      <c r="D1" s="35"/>
    </row>
    <row r="2" spans="1:4" x14ac:dyDescent="0.25">
      <c r="A2" s="27" t="s">
        <v>28</v>
      </c>
      <c r="B2" s="27" t="s">
        <v>81</v>
      </c>
      <c r="C2" s="27" t="s">
        <v>82</v>
      </c>
      <c r="D2" s="27" t="s">
        <v>83</v>
      </c>
    </row>
    <row r="3" spans="1:4" x14ac:dyDescent="0.25">
      <c r="A3" s="15" t="s">
        <v>84</v>
      </c>
      <c r="B3" s="15" t="s">
        <v>85</v>
      </c>
      <c r="C3" s="15" t="s">
        <v>86</v>
      </c>
      <c r="D3" s="15"/>
    </row>
    <row r="4" spans="1:4" x14ac:dyDescent="0.25">
      <c r="A4" s="36" t="s">
        <v>87</v>
      </c>
      <c r="B4" s="15" t="s">
        <v>88</v>
      </c>
      <c r="C4" s="15" t="s">
        <v>89</v>
      </c>
      <c r="D4" s="15"/>
    </row>
    <row r="5" spans="1:4" x14ac:dyDescent="0.25">
      <c r="A5" s="37"/>
      <c r="B5" s="15" t="s">
        <v>90</v>
      </c>
      <c r="C5" s="15" t="s">
        <v>91</v>
      </c>
      <c r="D5" s="15"/>
    </row>
    <row r="6" spans="1:4" x14ac:dyDescent="0.25">
      <c r="A6" s="37"/>
      <c r="B6" s="15" t="s">
        <v>92</v>
      </c>
      <c r="C6" s="15" t="s">
        <v>93</v>
      </c>
      <c r="D6" s="15"/>
    </row>
    <row r="7" spans="1:4" x14ac:dyDescent="0.25">
      <c r="A7" s="37"/>
      <c r="B7" s="15" t="s">
        <v>94</v>
      </c>
      <c r="C7" s="15" t="s">
        <v>95</v>
      </c>
      <c r="D7" s="15"/>
    </row>
    <row r="8" spans="1:4" x14ac:dyDescent="0.25">
      <c r="A8" s="38"/>
      <c r="B8" s="15" t="s">
        <v>96</v>
      </c>
      <c r="C8" s="15" t="s">
        <v>97</v>
      </c>
      <c r="D8" s="15"/>
    </row>
    <row r="9" spans="1:4" x14ac:dyDescent="0.25">
      <c r="A9" s="36" t="s">
        <v>98</v>
      </c>
      <c r="B9" s="15" t="s">
        <v>99</v>
      </c>
      <c r="C9" s="15" t="s">
        <v>100</v>
      </c>
      <c r="D9" s="15"/>
    </row>
    <row r="10" spans="1:4" x14ac:dyDescent="0.25">
      <c r="A10" s="37"/>
      <c r="B10" s="15" t="s">
        <v>101</v>
      </c>
      <c r="C10" s="15" t="s">
        <v>102</v>
      </c>
      <c r="D10" s="15"/>
    </row>
    <row r="11" spans="1:4" x14ac:dyDescent="0.25">
      <c r="A11" s="37"/>
      <c r="B11" s="15" t="s">
        <v>103</v>
      </c>
      <c r="C11" s="15" t="s">
        <v>104</v>
      </c>
      <c r="D11" s="15"/>
    </row>
    <row r="12" spans="1:4" x14ac:dyDescent="0.25">
      <c r="A12" s="37"/>
      <c r="B12" s="15" t="s">
        <v>105</v>
      </c>
      <c r="C12" s="15" t="s">
        <v>106</v>
      </c>
      <c r="D12" s="15"/>
    </row>
    <row r="13" spans="1:4" x14ac:dyDescent="0.25">
      <c r="A13" s="37"/>
      <c r="B13" s="15" t="s">
        <v>107</v>
      </c>
      <c r="C13" s="15" t="s">
        <v>108</v>
      </c>
      <c r="D13" s="15"/>
    </row>
    <row r="14" spans="1:4" x14ac:dyDescent="0.25">
      <c r="A14" s="38"/>
      <c r="B14" s="15" t="s">
        <v>109</v>
      </c>
      <c r="C14" s="15" t="s">
        <v>110</v>
      </c>
      <c r="D14" s="15"/>
    </row>
    <row r="15" spans="1:4" x14ac:dyDescent="0.25">
      <c r="A15" s="15" t="s">
        <v>111</v>
      </c>
      <c r="B15" s="15" t="s">
        <v>112</v>
      </c>
      <c r="C15" s="15" t="s">
        <v>113</v>
      </c>
      <c r="D15" s="15"/>
    </row>
    <row r="16" spans="1:4" ht="30" x14ac:dyDescent="0.25">
      <c r="A16" s="36" t="s">
        <v>114</v>
      </c>
      <c r="B16" s="15" t="s">
        <v>115</v>
      </c>
      <c r="C16" s="15" t="s">
        <v>116</v>
      </c>
      <c r="D16" s="8" t="s">
        <v>117</v>
      </c>
    </row>
    <row r="17" spans="1:4" ht="30" x14ac:dyDescent="0.25">
      <c r="A17" s="37"/>
      <c r="B17" s="15" t="s">
        <v>118</v>
      </c>
      <c r="C17" s="15" t="s">
        <v>119</v>
      </c>
      <c r="D17" s="8" t="s">
        <v>120</v>
      </c>
    </row>
    <row r="18" spans="1:4" ht="30" x14ac:dyDescent="0.25">
      <c r="A18" s="38"/>
      <c r="B18" s="15" t="s">
        <v>101</v>
      </c>
      <c r="C18" s="15" t="s">
        <v>121</v>
      </c>
      <c r="D18" s="8" t="s">
        <v>122</v>
      </c>
    </row>
  </sheetData>
  <mergeCells count="4">
    <mergeCell ref="A1:D1"/>
    <mergeCell ref="A4:A8"/>
    <mergeCell ref="A9:A14"/>
    <mergeCell ref="A16:A1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FF00"/>
  </sheetPr>
  <dimension ref="A1:B9"/>
  <sheetViews>
    <sheetView workbookViewId="0">
      <selection activeCell="B19" sqref="B19"/>
    </sheetView>
  </sheetViews>
  <sheetFormatPr defaultRowHeight="15" x14ac:dyDescent="0.25"/>
  <cols>
    <col min="1" max="1" width="14.85546875" bestFit="1" customWidth="1"/>
    <col min="2" max="2" width="19.42578125" bestFit="1" customWidth="1"/>
  </cols>
  <sheetData>
    <row r="1" spans="1:2" x14ac:dyDescent="0.25">
      <c r="A1" s="11" t="s">
        <v>123</v>
      </c>
      <c r="B1" s="11" t="s">
        <v>124</v>
      </c>
    </row>
    <row r="2" spans="1:2" x14ac:dyDescent="0.25">
      <c r="A2" s="15" t="s">
        <v>125</v>
      </c>
      <c r="B2" s="15" t="s">
        <v>68</v>
      </c>
    </row>
    <row r="3" spans="1:2" x14ac:dyDescent="0.25">
      <c r="A3" s="15" t="s">
        <v>126</v>
      </c>
      <c r="B3" s="15" t="s">
        <v>127</v>
      </c>
    </row>
    <row r="4" spans="1:2" x14ac:dyDescent="0.25">
      <c r="A4" s="15" t="s">
        <v>128</v>
      </c>
      <c r="B4" s="15" t="s">
        <v>127</v>
      </c>
    </row>
    <row r="5" spans="1:2" x14ac:dyDescent="0.25">
      <c r="A5" s="15" t="s">
        <v>129</v>
      </c>
      <c r="B5" s="15">
        <v>0</v>
      </c>
    </row>
    <row r="6" spans="1:2" x14ac:dyDescent="0.25">
      <c r="A6" s="28" t="s">
        <v>130</v>
      </c>
    </row>
    <row r="7" spans="1:2" x14ac:dyDescent="0.25">
      <c r="A7" t="s">
        <v>131</v>
      </c>
    </row>
    <row r="8" spans="1:2" x14ac:dyDescent="0.25">
      <c r="A8" t="s">
        <v>132</v>
      </c>
    </row>
    <row r="9" spans="1:2" x14ac:dyDescent="0.25">
      <c r="A9" t="s">
        <v>133</v>
      </c>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FFFF00"/>
  </sheetPr>
  <dimension ref="A1:L15"/>
  <sheetViews>
    <sheetView workbookViewId="0">
      <selection activeCell="B19" sqref="B19"/>
    </sheetView>
  </sheetViews>
  <sheetFormatPr defaultRowHeight="15" x14ac:dyDescent="0.25"/>
  <cols>
    <col min="1" max="1" width="20.85546875" customWidth="1"/>
    <col min="2" max="2" width="22.140625" customWidth="1"/>
    <col min="3" max="3" width="9.140625" customWidth="1"/>
    <col min="12" max="12" width="12" customWidth="1"/>
  </cols>
  <sheetData>
    <row r="1" spans="1:12" x14ac:dyDescent="0.25">
      <c r="A1" s="11" t="s">
        <v>134</v>
      </c>
      <c r="B1" s="11" t="s">
        <v>135</v>
      </c>
      <c r="C1" s="42" t="s">
        <v>136</v>
      </c>
      <c r="D1" s="43"/>
      <c r="E1" s="43"/>
      <c r="F1" s="43"/>
      <c r="G1" s="43"/>
      <c r="H1" s="43"/>
      <c r="I1" s="43"/>
      <c r="J1" s="43"/>
      <c r="K1" s="43"/>
      <c r="L1" s="44"/>
    </row>
    <row r="2" spans="1:12" ht="30" x14ac:dyDescent="0.25">
      <c r="A2" s="29" t="s">
        <v>137</v>
      </c>
      <c r="B2" s="29" t="s">
        <v>138</v>
      </c>
      <c r="C2" s="39" t="s">
        <v>139</v>
      </c>
      <c r="D2" s="40"/>
      <c r="E2" s="40"/>
      <c r="F2" s="40"/>
      <c r="G2" s="40"/>
      <c r="H2" s="40"/>
      <c r="I2" s="40"/>
      <c r="J2" s="40"/>
      <c r="K2" s="40"/>
      <c r="L2" s="41"/>
    </row>
    <row r="3" spans="1:12" ht="30" x14ac:dyDescent="0.25">
      <c r="A3" s="29" t="s">
        <v>140</v>
      </c>
      <c r="B3" s="29" t="s">
        <v>141</v>
      </c>
      <c r="C3" s="39" t="s">
        <v>142</v>
      </c>
      <c r="D3" s="40"/>
      <c r="E3" s="40"/>
      <c r="F3" s="40"/>
      <c r="G3" s="40"/>
      <c r="H3" s="40"/>
      <c r="I3" s="40"/>
      <c r="J3" s="40"/>
      <c r="K3" s="40"/>
      <c r="L3" s="41"/>
    </row>
    <row r="4" spans="1:12" x14ac:dyDescent="0.25">
      <c r="A4" s="14"/>
      <c r="B4" s="14"/>
      <c r="C4" s="39" t="s">
        <v>143</v>
      </c>
      <c r="D4" s="40"/>
      <c r="E4" s="40"/>
      <c r="F4" s="40"/>
      <c r="G4" s="40"/>
      <c r="H4" s="40"/>
      <c r="I4" s="40"/>
      <c r="J4" s="40"/>
      <c r="K4" s="40"/>
      <c r="L4" s="41"/>
    </row>
    <row r="5" spans="1:12" x14ac:dyDescent="0.25">
      <c r="A5" s="14"/>
      <c r="B5" s="14"/>
      <c r="C5" s="39" t="s">
        <v>144</v>
      </c>
      <c r="D5" s="40"/>
      <c r="E5" s="40"/>
      <c r="F5" s="40"/>
      <c r="G5" s="40"/>
      <c r="H5" s="40"/>
      <c r="I5" s="40"/>
      <c r="J5" s="40"/>
      <c r="K5" s="40"/>
      <c r="L5" s="41"/>
    </row>
    <row r="6" spans="1:12" x14ac:dyDescent="0.25">
      <c r="A6" s="14"/>
      <c r="B6" s="14"/>
      <c r="C6" s="39" t="s">
        <v>145</v>
      </c>
      <c r="D6" s="40"/>
      <c r="E6" s="40"/>
      <c r="F6" s="40"/>
      <c r="G6" s="40"/>
      <c r="H6" s="40"/>
      <c r="I6" s="40"/>
      <c r="J6" s="40"/>
      <c r="K6" s="40"/>
      <c r="L6" s="41"/>
    </row>
    <row r="7" spans="1:12" x14ac:dyDescent="0.25">
      <c r="A7" s="14"/>
      <c r="B7" s="14"/>
      <c r="C7" s="39" t="s">
        <v>146</v>
      </c>
      <c r="D7" s="40"/>
      <c r="E7" s="40"/>
      <c r="F7" s="40"/>
      <c r="G7" s="40"/>
      <c r="H7" s="40"/>
      <c r="I7" s="40"/>
      <c r="J7" s="40"/>
      <c r="K7" s="40"/>
      <c r="L7" s="41"/>
    </row>
    <row r="8" spans="1:12" x14ac:dyDescent="0.25">
      <c r="A8" s="14" t="s">
        <v>147</v>
      </c>
      <c r="B8" s="14" t="s">
        <v>148</v>
      </c>
      <c r="C8" s="39" t="s">
        <v>149</v>
      </c>
      <c r="D8" s="40"/>
      <c r="E8" s="40"/>
      <c r="F8" s="40"/>
      <c r="G8" s="40"/>
      <c r="H8" s="40"/>
      <c r="I8" s="40"/>
      <c r="J8" s="40"/>
      <c r="K8" s="40"/>
      <c r="L8" s="41"/>
    </row>
    <row r="9" spans="1:12" x14ac:dyDescent="0.25">
      <c r="A9" s="14" t="s">
        <v>150</v>
      </c>
      <c r="B9" s="14" t="s">
        <v>151</v>
      </c>
      <c r="C9" s="39" t="s">
        <v>152</v>
      </c>
      <c r="D9" s="40"/>
      <c r="E9" s="40"/>
      <c r="F9" s="40"/>
      <c r="G9" s="40"/>
      <c r="H9" s="40"/>
      <c r="I9" s="40"/>
      <c r="J9" s="40"/>
      <c r="K9" s="40"/>
      <c r="L9" s="41"/>
    </row>
    <row r="10" spans="1:12" x14ac:dyDescent="0.25">
      <c r="A10" s="14"/>
      <c r="B10" s="14"/>
      <c r="C10" s="39" t="s">
        <v>153</v>
      </c>
      <c r="D10" s="40"/>
      <c r="E10" s="40"/>
      <c r="F10" s="40"/>
      <c r="G10" s="40"/>
      <c r="H10" s="40"/>
      <c r="I10" s="40"/>
      <c r="J10" s="40"/>
      <c r="K10" s="40"/>
      <c r="L10" s="41"/>
    </row>
    <row r="11" spans="1:12" x14ac:dyDescent="0.25">
      <c r="A11" s="14" t="s">
        <v>154</v>
      </c>
      <c r="B11" s="14" t="s">
        <v>155</v>
      </c>
      <c r="C11" s="39" t="s">
        <v>156</v>
      </c>
      <c r="D11" s="40"/>
      <c r="E11" s="40"/>
      <c r="F11" s="40"/>
      <c r="G11" s="40"/>
      <c r="H11" s="40"/>
      <c r="I11" s="40"/>
      <c r="J11" s="40"/>
      <c r="K11" s="40"/>
      <c r="L11" s="41"/>
    </row>
    <row r="12" spans="1:12" x14ac:dyDescent="0.25">
      <c r="A12" s="14"/>
      <c r="B12" s="14"/>
      <c r="C12" s="39" t="s">
        <v>157</v>
      </c>
      <c r="D12" s="40"/>
      <c r="E12" s="40"/>
      <c r="F12" s="40"/>
      <c r="G12" s="40"/>
      <c r="H12" s="40"/>
      <c r="I12" s="40"/>
      <c r="J12" s="40"/>
      <c r="K12" s="40"/>
      <c r="L12" s="41"/>
    </row>
    <row r="13" spans="1:12" x14ac:dyDescent="0.25">
      <c r="A13" s="14" t="s">
        <v>158</v>
      </c>
      <c r="B13" s="14" t="s">
        <v>158</v>
      </c>
      <c r="C13" s="39" t="s">
        <v>159</v>
      </c>
      <c r="D13" s="40"/>
      <c r="E13" s="40"/>
      <c r="F13" s="40"/>
      <c r="G13" s="40"/>
      <c r="H13" s="40"/>
      <c r="I13" s="40"/>
      <c r="J13" s="40"/>
      <c r="K13" s="40"/>
      <c r="L13" s="41"/>
    </row>
    <row r="14" spans="1:12" x14ac:dyDescent="0.25">
      <c r="A14" s="14" t="s">
        <v>160</v>
      </c>
      <c r="B14" s="14" t="s">
        <v>161</v>
      </c>
      <c r="C14" s="39" t="s">
        <v>162</v>
      </c>
      <c r="D14" s="40"/>
      <c r="E14" s="40"/>
      <c r="F14" s="40"/>
      <c r="G14" s="40"/>
      <c r="H14" s="40"/>
      <c r="I14" s="40"/>
      <c r="J14" s="40"/>
      <c r="K14" s="40"/>
      <c r="L14" s="41"/>
    </row>
    <row r="15" spans="1:12" x14ac:dyDescent="0.25">
      <c r="A15" s="14"/>
      <c r="B15" s="14" t="s">
        <v>163</v>
      </c>
      <c r="C15" s="39" t="s">
        <v>164</v>
      </c>
      <c r="D15" s="40"/>
      <c r="E15" s="40"/>
      <c r="F15" s="40"/>
      <c r="G15" s="40"/>
      <c r="H15" s="40"/>
      <c r="I15" s="40"/>
      <c r="J15" s="40"/>
      <c r="K15" s="40"/>
      <c r="L15" s="41"/>
    </row>
  </sheetData>
  <mergeCells count="15">
    <mergeCell ref="C6:L6"/>
    <mergeCell ref="C1:L1"/>
    <mergeCell ref="C2:L2"/>
    <mergeCell ref="C3:L3"/>
    <mergeCell ref="C4:L4"/>
    <mergeCell ref="C5:L5"/>
    <mergeCell ref="C13:L13"/>
    <mergeCell ref="C14:L14"/>
    <mergeCell ref="C15:L15"/>
    <mergeCell ref="C7:L7"/>
    <mergeCell ref="C8:L8"/>
    <mergeCell ref="C9:L9"/>
    <mergeCell ref="C10:L10"/>
    <mergeCell ref="C11:L11"/>
    <mergeCell ref="C12:L12"/>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_rels/item30.xml.rels><?xml version="1.0" encoding="UTF-8" standalone="yes"?>
<Relationships xmlns="http://schemas.openxmlformats.org/package/2006/relationships"><Relationship Id="rId1" Type="http://schemas.openxmlformats.org/officeDocument/2006/relationships/customXmlProps" Target="itemProps30.xml"/></Relationships>
</file>

<file path=customXml/_rels/item31.xml.rels><?xml version="1.0" encoding="UTF-8" standalone="yes"?>
<Relationships xmlns="http://schemas.openxmlformats.org/package/2006/relationships"><Relationship Id="rId1" Type="http://schemas.openxmlformats.org/officeDocument/2006/relationships/customXmlProps" Target="itemProps31.xml"/></Relationships>
</file>

<file path=customXml/_rels/item32.xml.rels><?xml version="1.0" encoding="UTF-8" standalone="yes"?>
<Relationships xmlns="http://schemas.openxmlformats.org/package/2006/relationships"><Relationship Id="rId1" Type="http://schemas.openxmlformats.org/officeDocument/2006/relationships/customXmlProps" Target="itemProps32.xml"/></Relationships>
</file>

<file path=customXml/_rels/item33.xml.rels><?xml version="1.0" encoding="UTF-8" standalone="yes"?>
<Relationships xmlns="http://schemas.openxmlformats.org/package/2006/relationships"><Relationship Id="rId1" Type="http://schemas.openxmlformats.org/officeDocument/2006/relationships/customXmlProps" Target="itemProps33.xml"/></Relationships>
</file>

<file path=customXml/_rels/item34.xml.rels><?xml version="1.0" encoding="UTF-8" standalone="yes"?>
<Relationships xmlns="http://schemas.openxmlformats.org/package/2006/relationships"><Relationship Id="rId1" Type="http://schemas.openxmlformats.org/officeDocument/2006/relationships/customXmlProps" Target="itemProps34.xml"/></Relationships>
</file>

<file path=customXml/_rels/item35.xml.rels><?xml version="1.0" encoding="UTF-8" standalone="yes"?>
<Relationships xmlns="http://schemas.openxmlformats.org/package/2006/relationships"><Relationship Id="rId1" Type="http://schemas.openxmlformats.org/officeDocument/2006/relationships/customXmlProps" Target="itemProps35.xml"/></Relationships>
</file>

<file path=customXml/_rels/item36.xml.rels><?xml version="1.0" encoding="UTF-8" standalone="yes"?>
<Relationships xmlns="http://schemas.openxmlformats.org/package/2006/relationships"><Relationship Id="rId1" Type="http://schemas.openxmlformats.org/officeDocument/2006/relationships/customXmlProps" Target="itemProps36.xml"/></Relationships>
</file>

<file path=customXml/_rels/item37.xml.rels><?xml version="1.0" encoding="UTF-8" standalone="yes"?>
<Relationships xmlns="http://schemas.openxmlformats.org/package/2006/relationships"><Relationship Id="rId1" Type="http://schemas.openxmlformats.org/officeDocument/2006/relationships/customXmlProps" Target="itemProps37.xml"/></Relationships>
</file>

<file path=customXml/_rels/item38.xml.rels><?xml version="1.0" encoding="UTF-8" standalone="yes"?>
<Relationships xmlns="http://schemas.openxmlformats.org/package/2006/relationships"><Relationship Id="rId1" Type="http://schemas.openxmlformats.org/officeDocument/2006/relationships/customXmlProps" Target="itemProps38.xml"/></Relationships>
</file>

<file path=customXml/_rels/item39.xml.rels><?xml version="1.0" encoding="UTF-8" standalone="yes"?>
<Relationships xmlns="http://schemas.openxmlformats.org/package/2006/relationships"><Relationship Id="rId1" Type="http://schemas.openxmlformats.org/officeDocument/2006/relationships/customXmlProps" Target="itemProps39.xml"/></Relationships>
</file>

<file path=customXml/_rels/item40.xml.rels><?xml version="1.0" encoding="UTF-8" standalone="yes"?>
<Relationships xmlns="http://schemas.openxmlformats.org/package/2006/relationships"><Relationship Id="rId1" Type="http://schemas.openxmlformats.org/officeDocument/2006/relationships/customXmlProps" Target="itemProps40.xml"/></Relationships>
</file>

<file path=customXml/_rels/item41.xml.rels><?xml version="1.0" encoding="UTF-8" standalone="yes"?>
<Relationships xmlns="http://schemas.openxmlformats.org/package/2006/relationships"><Relationship Id="rId1" Type="http://schemas.openxmlformats.org/officeDocument/2006/relationships/customXmlProps" Target="itemProps41.xml"/></Relationships>
</file>

<file path=customXml/_rels/item42.xml.rels><?xml version="1.0" encoding="UTF-8" standalone="yes"?>
<Relationships xmlns="http://schemas.openxmlformats.org/package/2006/relationships"><Relationship Id="rId1" Type="http://schemas.openxmlformats.org/officeDocument/2006/relationships/customXmlProps" Target="itemProps42.xml"/></Relationships>
</file>

<file path=customXml/_rels/item43.xml.rels><?xml version="1.0" encoding="UTF-8" standalone="yes"?>
<Relationships xmlns="http://schemas.openxmlformats.org/package/2006/relationships"><Relationship Id="rId1" Type="http://schemas.openxmlformats.org/officeDocument/2006/relationships/customXmlProps" Target="itemProps43.xml"/></Relationships>
</file>

<file path=customXml/_rels/item44.xml.rels><?xml version="1.0" encoding="UTF-8" standalone="yes"?>
<Relationships xmlns="http://schemas.openxmlformats.org/package/2006/relationships"><Relationship Id="rId1" Type="http://schemas.openxmlformats.org/officeDocument/2006/relationships/customXmlProps" Target="itemProps44.xml"/></Relationships>
</file>

<file path=customXml/_rels/item45.xml.rels><?xml version="1.0" encoding="UTF-8" standalone="yes"?>
<Relationships xmlns="http://schemas.openxmlformats.org/package/2006/relationships"><Relationship Id="rId1" Type="http://schemas.openxmlformats.org/officeDocument/2006/relationships/customXmlProps" Target="itemProps45.xml"/></Relationships>
</file>

<file path=customXml/_rels/item46.xml.rels><?xml version="1.0" encoding="UTF-8" standalone="yes"?>
<Relationships xmlns="http://schemas.openxmlformats.org/package/2006/relationships"><Relationship Id="rId1" Type="http://schemas.openxmlformats.org/officeDocument/2006/relationships/customXmlProps" Target="itemProps46.xml"/></Relationships>
</file>

<file path=customXml/_rels/item47.xml.rels><?xml version="1.0" encoding="UTF-8" standalone="yes"?>
<Relationships xmlns="http://schemas.openxmlformats.org/package/2006/relationships"><Relationship Id="rId1" Type="http://schemas.openxmlformats.org/officeDocument/2006/relationships/customXmlProps" Target="itemProps47.xml"/></Relationships>
</file>

<file path=customXml/_rels/item48.xml.rels><?xml version="1.0" encoding="UTF-8" standalone="yes"?>
<Relationships xmlns="http://schemas.openxmlformats.org/package/2006/relationships"><Relationship Id="rId1" Type="http://schemas.openxmlformats.org/officeDocument/2006/relationships/customXmlProps" Target="itemProps48.xml"/></Relationships>
</file>

<file path=customXml/_rels/item49.xml.rels><?xml version="1.0" encoding="UTF-8" standalone="yes"?>
<Relationships xmlns="http://schemas.openxmlformats.org/package/2006/relationships"><Relationship Id="rId1" Type="http://schemas.openxmlformats.org/officeDocument/2006/relationships/customXmlProps" Target="itemProps49.xml"/></Relationships>
</file>

<file path=customXml/_rels/item50.xml.rels><?xml version="1.0" encoding="UTF-8" standalone="yes"?>
<Relationships xmlns="http://schemas.openxmlformats.org/package/2006/relationships"><Relationship Id="rId1" Type="http://schemas.openxmlformats.org/officeDocument/2006/relationships/customXmlProps" Target="itemProps50.xml"/></Relationships>
</file>

<file path=customXml/_rels/item51.xml.rels><?xml version="1.0" encoding="UTF-8" standalone="yes"?>
<Relationships xmlns="http://schemas.openxmlformats.org/package/2006/relationships"><Relationship Id="rId1" Type="http://schemas.openxmlformats.org/officeDocument/2006/relationships/customXmlProps" Target="itemProps51.xml"/></Relationships>
</file>

<file path=customXml/_rels/item52.xml.rels><?xml version="1.0" encoding="UTF-8" standalone="yes"?>
<Relationships xmlns="http://schemas.openxmlformats.org/package/2006/relationships"><Relationship Id="rId1" Type="http://schemas.openxmlformats.org/officeDocument/2006/relationships/customXmlProps" Target="itemProps52.xml"/></Relationships>
</file>

<file path=customXml/_rels/item53.xml.rels><?xml version="1.0" encoding="UTF-8" standalone="yes"?>
<Relationships xmlns="http://schemas.openxmlformats.org/package/2006/relationships"><Relationship Id="rId1" Type="http://schemas.openxmlformats.org/officeDocument/2006/relationships/customXmlProps" Target="itemProps53.xml"/></Relationships>
</file>

<file path=customXml/_rels/item54.xml.rels><?xml version="1.0" encoding="UTF-8" standalone="yes"?>
<Relationships xmlns="http://schemas.openxmlformats.org/package/2006/relationships"><Relationship Id="rId1" Type="http://schemas.openxmlformats.org/officeDocument/2006/relationships/customXmlProps" Target="itemProps54.xml"/></Relationships>
</file>

<file path=customXml/_rels/item55.xml.rels><?xml version="1.0" encoding="UTF-8" standalone="yes"?>
<Relationships xmlns="http://schemas.openxmlformats.org/package/2006/relationships"><Relationship Id="rId1" Type="http://schemas.openxmlformats.org/officeDocument/2006/relationships/customXmlProps" Target="itemProps55.xml"/></Relationships>
</file>

<file path=customXml/_rels/item56.xml.rels><?xml version="1.0" encoding="UTF-8" standalone="yes"?>
<Relationships xmlns="http://schemas.openxmlformats.org/package/2006/relationships"><Relationship Id="rId1" Type="http://schemas.openxmlformats.org/officeDocument/2006/relationships/customXmlProps" Target="itemProps56.xml"/></Relationships>
</file>

<file path=customXml/_rels/item57.xml.rels><?xml version="1.0" encoding="UTF-8" standalone="yes"?>
<Relationships xmlns="http://schemas.openxmlformats.org/package/2006/relationships"><Relationship Id="rId1" Type="http://schemas.openxmlformats.org/officeDocument/2006/relationships/customXmlProps" Target="itemProps57.xml"/></Relationships>
</file>

<file path=customXml/_rels/item58.xml.rels><?xml version="1.0" encoding="UTF-8" standalone="yes"?>
<Relationships xmlns="http://schemas.openxmlformats.org/package/2006/relationships"><Relationship Id="rId1" Type="http://schemas.openxmlformats.org/officeDocument/2006/relationships/customXmlProps" Target="itemProps5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30.xml>��
</file>

<file path=customXml/item31.xml>��
</file>

<file path=customXml/item32.xml>��
</file>

<file path=customXml/item33.xml>��
</file>

<file path=customXml/item34.xml>��
</file>

<file path=customXml/item35.xml>��
</file>

<file path=customXml/item36.xml>��
</file>

<file path=customXml/item37.xml>��
</file>

<file path=customXml/item38.xml>��
</file>

<file path=customXml/item39.xml>��
</file>

<file path=customXml/item40.xml>��
</file>

<file path=customXml/item41.xml>��
</file>

<file path=customXml/item42.xml>��
</file>

<file path=customXml/item43.xml>��
</file>

<file path=customXml/item44.xml>��
</file>

<file path=customXml/item45.xml>��
</file>

<file path=customXml/item46.xml>��
</file>

<file path=customXml/item47.xml>��
</file>

<file path=customXml/item48.xml>��
</file>

<file path=customXml/item49.xml>��
</file>

<file path=customXml/item50.xml>��
</file>

<file path=customXml/item51.xml>��
</file>

<file path=customXml/item52.xml>��
</file>

<file path=customXml/item53.xml>��
</file>

<file path=customXml/item54.xml>��
</file>

<file path=customXml/item55.xml>��
</file>

<file path=customXml/item56.xml>��
</file>

<file path=customXml/item57.xml>��
</file>

<file path=customXml/item58.xml>��
</file>

<file path=customXml/itemProps1.xml><?xml version="1.0" encoding="utf-8"?>
<ds:datastoreItem xmlns:ds="http://schemas.openxmlformats.org/officeDocument/2006/customXml" ds:itemID="{19EA1755-F9ED-4BF4-9721-F73BECEE2F7E}">
  <ds:schemaRefs/>
</ds:datastoreItem>
</file>

<file path=customXml/itemProps2.xml><?xml version="1.0" encoding="utf-8"?>
<ds:datastoreItem xmlns:ds="http://schemas.openxmlformats.org/officeDocument/2006/customXml" ds:itemID="{6D3FDE6B-6D44-4755-B28F-75A8403475C2}">
  <ds:schemaRefs/>
</ds:datastoreItem>
</file>

<file path=customXml/itemProps3.xml><?xml version="1.0" encoding="utf-8"?>
<ds:datastoreItem xmlns:ds="http://schemas.openxmlformats.org/officeDocument/2006/customXml" ds:itemID="{81FB231C-DD0A-43CD-84E5-8D0C694203DC}">
  <ds:schemaRefs/>
</ds:datastoreItem>
</file>

<file path=customXml/itemProps4.xml><?xml version="1.0" encoding="utf-8"?>
<ds:datastoreItem xmlns:ds="http://schemas.openxmlformats.org/officeDocument/2006/customXml" ds:itemID="{E98C0EE4-16E7-4246-96F1-CB0034E38D0B}">
  <ds:schemaRefs/>
</ds:datastoreItem>
</file>

<file path=customXml/itemProps5.xml><?xml version="1.0" encoding="utf-8"?>
<ds:datastoreItem xmlns:ds="http://schemas.openxmlformats.org/officeDocument/2006/customXml" ds:itemID="{BF770311-C639-467F-8320-D2FEBBE20FC8}">
  <ds:schemaRefs/>
</ds:datastoreItem>
</file>

<file path=customXml/itemProps6.xml><?xml version="1.0" encoding="utf-8"?>
<ds:datastoreItem xmlns:ds="http://schemas.openxmlformats.org/officeDocument/2006/customXml" ds:itemID="{6B9E3139-E614-4240-99A7-9BE1CA48524B}">
  <ds:schemaRefs/>
</ds:datastoreItem>
</file>

<file path=customXml/itemProps7.xml><?xml version="1.0" encoding="utf-8"?>
<ds:datastoreItem xmlns:ds="http://schemas.openxmlformats.org/officeDocument/2006/customXml" ds:itemID="{CED7F13E-BE54-4AFF-8BAD-C2A1E4D9B3F8}">
  <ds:schemaRefs/>
</ds:datastoreItem>
</file>

<file path=customXml/itemProps8.xml><?xml version="1.0" encoding="utf-8"?>
<ds:datastoreItem xmlns:ds="http://schemas.openxmlformats.org/officeDocument/2006/customXml" ds:itemID="{FAB995C6-EC7C-4CD2-BBBF-E369B5DF2360}">
  <ds:schemaRefs/>
</ds:datastoreItem>
</file>

<file path=customXml/itemProps9.xml><?xml version="1.0" encoding="utf-8"?>
<ds:datastoreItem xmlns:ds="http://schemas.openxmlformats.org/officeDocument/2006/customXml" ds:itemID="{F86D9253-C30D-4B38-924B-41D2A0F4DB50}">
  <ds:schemaRefs/>
</ds:datastoreItem>
</file>

<file path=customXml/itemProps10.xml><?xml version="1.0" encoding="utf-8"?>
<ds:datastoreItem xmlns:ds="http://schemas.openxmlformats.org/officeDocument/2006/customXml" ds:itemID="{05AED735-13AE-48A9-89E5-FA68B0F14B5C}">
  <ds:schemaRefs/>
</ds:datastoreItem>
</file>

<file path=customXml/itemProps11.xml><?xml version="1.0" encoding="utf-8"?>
<ds:datastoreItem xmlns:ds="http://schemas.openxmlformats.org/officeDocument/2006/customXml" ds:itemID="{38723FC4-3A71-499B-8244-795E0DAACBC4}">
  <ds:schemaRefs/>
</ds:datastoreItem>
</file>

<file path=customXml/itemProps12.xml><?xml version="1.0" encoding="utf-8"?>
<ds:datastoreItem xmlns:ds="http://schemas.openxmlformats.org/officeDocument/2006/customXml" ds:itemID="{1E17E9E0-51D8-42BC-867B-FB3E104A46C3}">
  <ds:schemaRefs/>
</ds:datastoreItem>
</file>

<file path=customXml/itemProps13.xml><?xml version="1.0" encoding="utf-8"?>
<ds:datastoreItem xmlns:ds="http://schemas.openxmlformats.org/officeDocument/2006/customXml" ds:itemID="{1C6F6802-0E52-477B-AB82-D6F73AB02FE2}">
  <ds:schemaRefs/>
</ds:datastoreItem>
</file>

<file path=customXml/itemProps14.xml><?xml version="1.0" encoding="utf-8"?>
<ds:datastoreItem xmlns:ds="http://schemas.openxmlformats.org/officeDocument/2006/customXml" ds:itemID="{CA2CFC7B-1688-437F-A045-B5A658176CFC}">
  <ds:schemaRefs/>
</ds:datastoreItem>
</file>

<file path=customXml/itemProps15.xml><?xml version="1.0" encoding="utf-8"?>
<ds:datastoreItem xmlns:ds="http://schemas.openxmlformats.org/officeDocument/2006/customXml" ds:itemID="{D64CC48E-0073-4D7D-A745-A6DD9B14A4C8}">
  <ds:schemaRefs/>
</ds:datastoreItem>
</file>

<file path=customXml/itemProps16.xml><?xml version="1.0" encoding="utf-8"?>
<ds:datastoreItem xmlns:ds="http://schemas.openxmlformats.org/officeDocument/2006/customXml" ds:itemID="{19F282A3-BA12-4631-BFA1-CB71675997AC}">
  <ds:schemaRefs/>
</ds:datastoreItem>
</file>

<file path=customXml/itemProps17.xml><?xml version="1.0" encoding="utf-8"?>
<ds:datastoreItem xmlns:ds="http://schemas.openxmlformats.org/officeDocument/2006/customXml" ds:itemID="{6EFB5864-CE25-4F57-B539-488762E26321}">
  <ds:schemaRefs/>
</ds:datastoreItem>
</file>

<file path=customXml/itemProps18.xml><?xml version="1.0" encoding="utf-8"?>
<ds:datastoreItem xmlns:ds="http://schemas.openxmlformats.org/officeDocument/2006/customXml" ds:itemID="{FEB1E012-7602-43E0-B71B-6E5516FA1CBB}">
  <ds:schemaRefs/>
</ds:datastoreItem>
</file>

<file path=customXml/itemProps19.xml><?xml version="1.0" encoding="utf-8"?>
<ds:datastoreItem xmlns:ds="http://schemas.openxmlformats.org/officeDocument/2006/customXml" ds:itemID="{83546772-1E1C-4173-A230-A4703A7F2996}">
  <ds:schemaRefs/>
</ds:datastoreItem>
</file>

<file path=customXml/itemProps20.xml><?xml version="1.0" encoding="utf-8"?>
<ds:datastoreItem xmlns:ds="http://schemas.openxmlformats.org/officeDocument/2006/customXml" ds:itemID="{78675DFB-E1EA-4986-AA82-DB3391996E20}">
  <ds:schemaRefs/>
</ds:datastoreItem>
</file>

<file path=customXml/itemProps21.xml><?xml version="1.0" encoding="utf-8"?>
<ds:datastoreItem xmlns:ds="http://schemas.openxmlformats.org/officeDocument/2006/customXml" ds:itemID="{E97D52A4-2B0F-46B5-BB3B-00608150A77C}">
  <ds:schemaRefs/>
</ds:datastoreItem>
</file>

<file path=customXml/itemProps22.xml><?xml version="1.0" encoding="utf-8"?>
<ds:datastoreItem xmlns:ds="http://schemas.openxmlformats.org/officeDocument/2006/customXml" ds:itemID="{75236551-66B6-4783-8574-0FEDD710324B}">
  <ds:schemaRefs/>
</ds:datastoreItem>
</file>

<file path=customXml/itemProps23.xml><?xml version="1.0" encoding="utf-8"?>
<ds:datastoreItem xmlns:ds="http://schemas.openxmlformats.org/officeDocument/2006/customXml" ds:itemID="{0B5D9A7C-919D-40E7-9AB6-D523C2D1414F}">
  <ds:schemaRefs/>
</ds:datastoreItem>
</file>

<file path=customXml/itemProps24.xml><?xml version="1.0" encoding="utf-8"?>
<ds:datastoreItem xmlns:ds="http://schemas.openxmlformats.org/officeDocument/2006/customXml" ds:itemID="{A2846A32-56BC-4C6F-B67A-E99F92D01539}">
  <ds:schemaRefs/>
</ds:datastoreItem>
</file>

<file path=customXml/itemProps25.xml><?xml version="1.0" encoding="utf-8"?>
<ds:datastoreItem xmlns:ds="http://schemas.openxmlformats.org/officeDocument/2006/customXml" ds:itemID="{D5557E6D-E450-4072-B216-A92640FCED11}">
  <ds:schemaRefs/>
</ds:datastoreItem>
</file>

<file path=customXml/itemProps26.xml><?xml version="1.0" encoding="utf-8"?>
<ds:datastoreItem xmlns:ds="http://schemas.openxmlformats.org/officeDocument/2006/customXml" ds:itemID="{B489F2C3-A478-4B59-85EA-76F60C2C3B1F}">
  <ds:schemaRefs/>
</ds:datastoreItem>
</file>

<file path=customXml/itemProps27.xml><?xml version="1.0" encoding="utf-8"?>
<ds:datastoreItem xmlns:ds="http://schemas.openxmlformats.org/officeDocument/2006/customXml" ds:itemID="{68097517-4739-4C9C-87F7-064501D85E8A}">
  <ds:schemaRefs/>
</ds:datastoreItem>
</file>

<file path=customXml/itemProps28.xml><?xml version="1.0" encoding="utf-8"?>
<ds:datastoreItem xmlns:ds="http://schemas.openxmlformats.org/officeDocument/2006/customXml" ds:itemID="{E050C0B3-4DC3-497B-8F23-C5E194853A14}">
  <ds:schemaRefs/>
</ds:datastoreItem>
</file>

<file path=customXml/itemProps29.xml><?xml version="1.0" encoding="utf-8"?>
<ds:datastoreItem xmlns:ds="http://schemas.openxmlformats.org/officeDocument/2006/customXml" ds:itemID="{CBDA8A2D-3439-4584-B28E-9F3DB1727714}">
  <ds:schemaRefs/>
</ds:datastoreItem>
</file>

<file path=customXml/itemProps30.xml><?xml version="1.0" encoding="utf-8"?>
<ds:datastoreItem xmlns:ds="http://schemas.openxmlformats.org/officeDocument/2006/customXml" ds:itemID="{82076447-B9CC-42A2-8EA0-893F8142D593}">
  <ds:schemaRefs/>
</ds:datastoreItem>
</file>

<file path=customXml/itemProps31.xml><?xml version="1.0" encoding="utf-8"?>
<ds:datastoreItem xmlns:ds="http://schemas.openxmlformats.org/officeDocument/2006/customXml" ds:itemID="{D964CB31-7D46-4626-B711-96776B298738}">
  <ds:schemaRefs/>
</ds:datastoreItem>
</file>

<file path=customXml/itemProps32.xml><?xml version="1.0" encoding="utf-8"?>
<ds:datastoreItem xmlns:ds="http://schemas.openxmlformats.org/officeDocument/2006/customXml" ds:itemID="{F88DAA36-031F-48FD-9D2C-B04502604816}">
  <ds:schemaRefs/>
</ds:datastoreItem>
</file>

<file path=customXml/itemProps33.xml><?xml version="1.0" encoding="utf-8"?>
<ds:datastoreItem xmlns:ds="http://schemas.openxmlformats.org/officeDocument/2006/customXml" ds:itemID="{0DE933EB-3FA5-4B5A-8BE8-E75421D5832F}">
  <ds:schemaRefs/>
</ds:datastoreItem>
</file>

<file path=customXml/itemProps34.xml><?xml version="1.0" encoding="utf-8"?>
<ds:datastoreItem xmlns:ds="http://schemas.openxmlformats.org/officeDocument/2006/customXml" ds:itemID="{09B9E433-28A8-4DDF-AAF4-51DD20D5DC1A}">
  <ds:schemaRefs/>
</ds:datastoreItem>
</file>

<file path=customXml/itemProps35.xml><?xml version="1.0" encoding="utf-8"?>
<ds:datastoreItem xmlns:ds="http://schemas.openxmlformats.org/officeDocument/2006/customXml" ds:itemID="{2066DFEC-D359-47C6-B956-4AC09EC77C10}">
  <ds:schemaRefs/>
</ds:datastoreItem>
</file>

<file path=customXml/itemProps36.xml><?xml version="1.0" encoding="utf-8"?>
<ds:datastoreItem xmlns:ds="http://schemas.openxmlformats.org/officeDocument/2006/customXml" ds:itemID="{7823102B-F2D8-48D6-B85B-664B9CFA80C4}">
  <ds:schemaRefs/>
</ds:datastoreItem>
</file>

<file path=customXml/itemProps37.xml><?xml version="1.0" encoding="utf-8"?>
<ds:datastoreItem xmlns:ds="http://schemas.openxmlformats.org/officeDocument/2006/customXml" ds:itemID="{BE1A55B8-C1A8-4BE2-999C-40EB16C93C76}">
  <ds:schemaRefs/>
</ds:datastoreItem>
</file>

<file path=customXml/itemProps38.xml><?xml version="1.0" encoding="utf-8"?>
<ds:datastoreItem xmlns:ds="http://schemas.openxmlformats.org/officeDocument/2006/customXml" ds:itemID="{BDAE5BE7-6955-42E9-8974-B1A6EAEDCB50}">
  <ds:schemaRefs/>
</ds:datastoreItem>
</file>

<file path=customXml/itemProps39.xml><?xml version="1.0" encoding="utf-8"?>
<ds:datastoreItem xmlns:ds="http://schemas.openxmlformats.org/officeDocument/2006/customXml" ds:itemID="{0ACD3CDF-25BD-49C0-A7A9-2AD09A8B2C77}">
  <ds:schemaRefs/>
</ds:datastoreItem>
</file>

<file path=customXml/itemProps40.xml><?xml version="1.0" encoding="utf-8"?>
<ds:datastoreItem xmlns:ds="http://schemas.openxmlformats.org/officeDocument/2006/customXml" ds:itemID="{5A1482A9-B6E3-47DC-8BB7-EBD72296C3A7}">
  <ds:schemaRefs/>
</ds:datastoreItem>
</file>

<file path=customXml/itemProps41.xml><?xml version="1.0" encoding="utf-8"?>
<ds:datastoreItem xmlns:ds="http://schemas.openxmlformats.org/officeDocument/2006/customXml" ds:itemID="{39969972-4CBE-4A31-84D9-3F697E3C85A8}">
  <ds:schemaRefs/>
</ds:datastoreItem>
</file>

<file path=customXml/itemProps42.xml><?xml version="1.0" encoding="utf-8"?>
<ds:datastoreItem xmlns:ds="http://schemas.openxmlformats.org/officeDocument/2006/customXml" ds:itemID="{F08F2837-F61E-48A7-BC8E-548A52B76A64}">
  <ds:schemaRefs/>
</ds:datastoreItem>
</file>

<file path=customXml/itemProps43.xml><?xml version="1.0" encoding="utf-8"?>
<ds:datastoreItem xmlns:ds="http://schemas.openxmlformats.org/officeDocument/2006/customXml" ds:itemID="{E782E495-7933-4A98-8A41-4C8E7C9EAC1A}">
  <ds:schemaRefs/>
</ds:datastoreItem>
</file>

<file path=customXml/itemProps44.xml><?xml version="1.0" encoding="utf-8"?>
<ds:datastoreItem xmlns:ds="http://schemas.openxmlformats.org/officeDocument/2006/customXml" ds:itemID="{993343B2-0246-43CE-B10F-88EEA31DF6CC}">
  <ds:schemaRefs/>
</ds:datastoreItem>
</file>

<file path=customXml/itemProps45.xml><?xml version="1.0" encoding="utf-8"?>
<ds:datastoreItem xmlns:ds="http://schemas.openxmlformats.org/officeDocument/2006/customXml" ds:itemID="{B58DB62F-576F-456B-913B-41CF5A37BD8B}">
  <ds:schemaRefs/>
</ds:datastoreItem>
</file>

<file path=customXml/itemProps46.xml><?xml version="1.0" encoding="utf-8"?>
<ds:datastoreItem xmlns:ds="http://schemas.openxmlformats.org/officeDocument/2006/customXml" ds:itemID="{28821721-EC8F-4D9B-93E5-802A642E4619}">
  <ds:schemaRefs/>
</ds:datastoreItem>
</file>

<file path=customXml/itemProps47.xml><?xml version="1.0" encoding="utf-8"?>
<ds:datastoreItem xmlns:ds="http://schemas.openxmlformats.org/officeDocument/2006/customXml" ds:itemID="{CC7E4341-603D-42D2-98A1-87D312266560}">
  <ds:schemaRefs/>
</ds:datastoreItem>
</file>

<file path=customXml/itemProps48.xml><?xml version="1.0" encoding="utf-8"?>
<ds:datastoreItem xmlns:ds="http://schemas.openxmlformats.org/officeDocument/2006/customXml" ds:itemID="{3864E7D0-ACD0-412B-BE0A-F78C485347D0}">
  <ds:schemaRefs/>
</ds:datastoreItem>
</file>

<file path=customXml/itemProps49.xml><?xml version="1.0" encoding="utf-8"?>
<ds:datastoreItem xmlns:ds="http://schemas.openxmlformats.org/officeDocument/2006/customXml" ds:itemID="{A825E832-1D99-45DA-81B6-B928FE8AB1B9}">
  <ds:schemaRefs/>
</ds:datastoreItem>
</file>

<file path=customXml/itemProps50.xml><?xml version="1.0" encoding="utf-8"?>
<ds:datastoreItem xmlns:ds="http://schemas.openxmlformats.org/officeDocument/2006/customXml" ds:itemID="{BC7FE0FD-FD38-42AE-AFA2-7209727B0E35}">
  <ds:schemaRefs/>
</ds:datastoreItem>
</file>

<file path=customXml/itemProps51.xml><?xml version="1.0" encoding="utf-8"?>
<ds:datastoreItem xmlns:ds="http://schemas.openxmlformats.org/officeDocument/2006/customXml" ds:itemID="{710DE1AC-43CB-4A36-8CCC-AC9AA804F659}">
  <ds:schemaRefs/>
</ds:datastoreItem>
</file>

<file path=customXml/itemProps52.xml><?xml version="1.0" encoding="utf-8"?>
<ds:datastoreItem xmlns:ds="http://schemas.openxmlformats.org/officeDocument/2006/customXml" ds:itemID="{F3476F10-2258-4B9C-A0D4-B3C4EF04E5E7}">
  <ds:schemaRefs/>
</ds:datastoreItem>
</file>

<file path=customXml/itemProps53.xml><?xml version="1.0" encoding="utf-8"?>
<ds:datastoreItem xmlns:ds="http://schemas.openxmlformats.org/officeDocument/2006/customXml" ds:itemID="{97AD9BF9-CAD3-471F-B079-312029038A06}">
  <ds:schemaRefs/>
</ds:datastoreItem>
</file>

<file path=customXml/itemProps54.xml><?xml version="1.0" encoding="utf-8"?>
<ds:datastoreItem xmlns:ds="http://schemas.openxmlformats.org/officeDocument/2006/customXml" ds:itemID="{2D7BBB04-6AA0-4C10-8A3C-04D68C0E6CD0}">
  <ds:schemaRefs/>
</ds:datastoreItem>
</file>

<file path=customXml/itemProps55.xml><?xml version="1.0" encoding="utf-8"?>
<ds:datastoreItem xmlns:ds="http://schemas.openxmlformats.org/officeDocument/2006/customXml" ds:itemID="{B2CF770E-BA53-43D9-865B-06558AAF2987}">
  <ds:schemaRefs/>
</ds:datastoreItem>
</file>

<file path=customXml/itemProps56.xml><?xml version="1.0" encoding="utf-8"?>
<ds:datastoreItem xmlns:ds="http://schemas.openxmlformats.org/officeDocument/2006/customXml" ds:itemID="{FADEC49E-C49D-46E5-822F-7B1225CE7DC2}">
  <ds:schemaRefs/>
</ds:datastoreItem>
</file>

<file path=customXml/itemProps57.xml><?xml version="1.0" encoding="utf-8"?>
<ds:datastoreItem xmlns:ds="http://schemas.openxmlformats.org/officeDocument/2006/customXml" ds:itemID="{37C90D64-DFF6-4B8A-8846-8E6D6667EA75}">
  <ds:schemaRefs/>
</ds:datastoreItem>
</file>

<file path=customXml/itemProps58.xml><?xml version="1.0" encoding="utf-8"?>
<ds:datastoreItem xmlns:ds="http://schemas.openxmlformats.org/officeDocument/2006/customXml" ds:itemID="{A2AD3C15-8BCD-4D5A-BB0E-1E085896AFB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Boolean&gt;&lt;Filter()</vt:lpstr>
      <vt:lpstr>Average by BuildRelationship</vt:lpstr>
      <vt:lpstr>Average by DisConnectedTable</vt:lpstr>
      <vt:lpstr>TNR beginner Product byTime</vt:lpstr>
      <vt:lpstr>% Change Fixed Number</vt:lpstr>
      <vt:lpstr>% Change SamePeriod</vt:lpstr>
      <vt:lpstr>Topics</vt:lpstr>
      <vt:lpstr>CALCULATE Notes</vt:lpstr>
      <vt:lpstr>CC vs. CF</vt:lpstr>
      <vt:lpstr>BLANK</vt:lpstr>
      <vt:lpstr>Operators</vt:lpstr>
      <vt:lpstr>Zero Infinity</vt:lpstr>
      <vt:lpstr>Data Types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2018-09-29T13:59:38Z</dcterms:modified>
</cp:coreProperties>
</file>