
<file path=[Content_Types].xml><?xml version="1.0" encoding="utf-8"?>
<Types xmlns="http://schemas.openxmlformats.org/package/2006/content-types">
  <Default Extension="data" ContentType="application/vnd.openxmlformats-officedocument.model+data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nht\Downloads\"/>
    </mc:Choice>
  </mc:AlternateContent>
  <xr:revisionPtr revIDLastSave="0" documentId="13_ncr:1_{E036D41B-D729-4379-B220-A7781FFB38AE}" xr6:coauthVersionLast="38" xr6:coauthVersionMax="38" xr10:uidLastSave="{00000000-0000-0000-0000-000000000000}"/>
  <bookViews>
    <workbookView xWindow="0" yWindow="0" windowWidth="24000" windowHeight="10950" xr2:uid="{00000000-000D-0000-FFFF-FFFF00000000}"/>
  </bookViews>
  <sheets>
    <sheet name="1440" sheetId="1" r:id="rId1"/>
  </sheets>
  <definedNames>
    <definedName name="_xlcn.LinkedTable_fSales1" hidden="1">fSales[]</definedName>
  </definedNames>
  <calcPr calcId="179021"/>
  <pivotCaches>
    <pivotCache cacheId="18" r:id="rId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Sales" name="fSales" connection="LinkedTable_fSale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8" i="1" l="1"/>
  <c r="R8" i="1"/>
  <c r="S8" i="1"/>
  <c r="Q9" i="1"/>
  <c r="R9" i="1"/>
  <c r="S9" i="1"/>
  <c r="Q10" i="1"/>
  <c r="R10" i="1"/>
  <c r="S10" i="1"/>
  <c r="Q11" i="1"/>
  <c r="R11" i="1"/>
  <c r="S11" i="1"/>
  <c r="Q12" i="1"/>
  <c r="R12" i="1"/>
  <c r="S12" i="1"/>
  <c r="Q13" i="1"/>
  <c r="R13" i="1"/>
  <c r="S13" i="1"/>
  <c r="Q14" i="1"/>
  <c r="R14" i="1"/>
  <c r="S14" i="1"/>
  <c r="Q15" i="1"/>
  <c r="R15" i="1"/>
  <c r="S15" i="1"/>
  <c r="Q16" i="1"/>
  <c r="R16" i="1"/>
  <c r="S16" i="1"/>
  <c r="Q17" i="1"/>
  <c r="R17" i="1"/>
  <c r="S17" i="1"/>
  <c r="Q18" i="1"/>
  <c r="R18" i="1"/>
  <c r="S18" i="1"/>
  <c r="Q19" i="1"/>
  <c r="R19" i="1"/>
  <c r="S19" i="1"/>
  <c r="Q20" i="1"/>
  <c r="R20" i="1"/>
  <c r="S20" i="1"/>
  <c r="Q21" i="1"/>
  <c r="R21" i="1"/>
  <c r="S21" i="1"/>
  <c r="T8" i="1"/>
  <c r="U8" i="1"/>
  <c r="T9" i="1"/>
  <c r="U9" i="1"/>
  <c r="T10" i="1"/>
  <c r="U10" i="1"/>
  <c r="T11" i="1"/>
  <c r="U11" i="1"/>
  <c r="T12" i="1"/>
  <c r="U12" i="1"/>
  <c r="T13" i="1"/>
  <c r="U13" i="1"/>
  <c r="T14" i="1"/>
  <c r="U14" i="1"/>
  <c r="T15" i="1"/>
  <c r="U15" i="1"/>
  <c r="T16" i="1"/>
  <c r="U16" i="1"/>
  <c r="T17" i="1"/>
  <c r="U17" i="1"/>
  <c r="T18" i="1"/>
  <c r="U18" i="1"/>
  <c r="T19" i="1"/>
  <c r="U19" i="1"/>
  <c r="T20" i="1"/>
  <c r="U20" i="1"/>
  <c r="T21" i="1"/>
  <c r="U2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LinkedTable_fSales" type="102" refreshedVersion="6" minRefreshableVersion="5">
    <extLst>
      <ext xmlns:x15="http://schemas.microsoft.com/office/spreadsheetml/2010/11/main" uri="{DE250136-89BD-433C-8126-D09CA5730AF9}">
        <x15:connection id="fSales">
          <x15:rangePr sourceName="_xlcn.LinkedTable_fSales1"/>
        </x15:connection>
      </ext>
    </extLst>
  </connection>
  <connection id="2" xr16:uid="{00000000-0015-0000-FFFF-FFFF01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<sst xmlns="http://schemas.openxmlformats.org/spreadsheetml/2006/main" count="76" uniqueCount="29">
  <si>
    <t>Date</t>
  </si>
  <si>
    <t>Product</t>
  </si>
  <si>
    <t>Channel</t>
  </si>
  <si>
    <t>Sales</t>
  </si>
  <si>
    <t>Carlota</t>
  </si>
  <si>
    <t>Web Site</t>
  </si>
  <si>
    <t>Quad</t>
  </si>
  <si>
    <t>In Store</t>
  </si>
  <si>
    <t>Bellen</t>
  </si>
  <si>
    <t>Mail Order</t>
  </si>
  <si>
    <t>Dealer</t>
  </si>
  <si>
    <t>Region</t>
  </si>
  <si>
    <t>West</t>
  </si>
  <si>
    <t>East</t>
  </si>
  <si>
    <t>MidWest</t>
  </si>
  <si>
    <t>Grand Total</t>
  </si>
  <si>
    <t>https://www.sqlbi.com/articles/the-in-operator-in-dax/</t>
  </si>
  <si>
    <t>Great article about IN:</t>
  </si>
  <si>
    <t>OR</t>
  </si>
  <si>
    <t>DAX Measure Logical Test For Each Record in Table:</t>
  </si>
  <si>
    <r>
      <t xml:space="preserve">Region = East </t>
    </r>
    <r>
      <rPr>
        <b/>
        <sz val="11"/>
        <color rgb="FFFF0000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Channel = Web Site</t>
    </r>
  </si>
  <si>
    <r>
      <t xml:space="preserve">Region = West </t>
    </r>
    <r>
      <rPr>
        <b/>
        <sz val="11"/>
        <color rgb="FFFF0000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Channel = Web Site</t>
    </r>
  </si>
  <si>
    <t xml:space="preserve">Excel Magic Trick 1439: DAX Measures to Create Cross Tabulated OR &amp; AND Logical Test Sales Total </t>
  </si>
  <si>
    <t>https://www.youtube.com/watch?v=vQziukUgITY</t>
  </si>
  <si>
    <t xml:space="preserve">Excel Magic Trick 1437: DAX Query OR Logical Test IN Operator: Pull Sales Team Data to Excel Sheet </t>
  </si>
  <si>
    <t>https://www.youtube.com/watch?v=v-wWPGHoXY0&amp;t=145s</t>
  </si>
  <si>
    <t>Excel Magic Trick 1440: DAX IN Operator on Two Columns for AND &amp; OR Logical Test</t>
  </si>
  <si>
    <t>West-Easte Website Total Sales</t>
  </si>
  <si>
    <t>Total Sales West_East_WebSite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</si>
</sst>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\$#,##0.00;\(\$#,##0.00\);\$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4" fillId="2" borderId="0" xfId="0" applyFont="1" applyFill="1"/>
    <xf numFmtId="0" fontId="3" fillId="0" borderId="0" xfId="0" applyFont="1"/>
    <xf numFmtId="0" fontId="2" fillId="3" borderId="1" xfId="0" applyFont="1" applyFill="1" applyBorder="1"/>
    <xf numFmtId="14" fontId="0" fillId="0" borderId="0" xfId="0" applyNumberFormat="1"/>
    <xf numFmtId="43" fontId="0" fillId="0" borderId="0" xfId="1" applyFont="1"/>
    <xf numFmtId="0" fontId="0" fillId="0" borderId="1" xfId="0" applyBorder="1"/>
    <xf numFmtId="0" fontId="0" fillId="0" borderId="0" xfId="0" pivotButton="1"/>
    <xf numFmtId="0" fontId="5" fillId="0" borderId="0" xfId="2"/>
    <xf numFmtId="0" fontId="6" fillId="0" borderId="0" xfId="0" applyFont="1"/>
    <xf numFmtId="0" fontId="0" fillId="0" borderId="0" xfId="0" applyFont="1"/>
    <xf numFmtId="0" fontId="2" fillId="4" borderId="1" xfId="0" applyFont="1" applyFill="1" applyBorder="1"/>
    <xf numFmtId="164" fontId="0" fillId="0" borderId="0" xfId="0" applyNumberFormat="1"/>
  </cellXfs>
  <cellStyles count="3">
    <cellStyle name="Comma" xfId="1" builtinId="3"/>
    <cellStyle name="Hyperlink" xfId="2" builtinId="8"/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theme" Target="theme/theme1.xml"/><Relationship Id="rId21" Type="http://schemas.openxmlformats.org/officeDocument/2006/relationships/customXml" Target="../customXml/item13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styles" Target="style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Relationship Id="rId27" Type="http://schemas.openxmlformats.org/officeDocument/2006/relationships/customXml" Target="../customXml/item1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523834</xdr:colOff>
      <xdr:row>22</xdr:row>
      <xdr:rowOff>185057</xdr:rowOff>
    </xdr:from>
    <xdr:to>
      <xdr:col>7</xdr:col>
      <xdr:colOff>1825901</xdr:colOff>
      <xdr:row>35</xdr:row>
      <xdr:rowOff>187778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77212F0-DFD7-4B57-8089-6D051B552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3591" y="4386943"/>
          <a:ext cx="2667041" cy="2479221"/>
        </a:xfrm>
        <a:prstGeom prst="rect">
          <a:avLst/>
        </a:prstGeom>
        <a:ln w="31750">
          <a:solidFill>
            <a:srgbClr val="FF0000"/>
          </a:solidFill>
        </a:ln>
      </xdr:spPr>
    </xdr:pic>
    <xdr:clientData/>
  </xdr:twoCellAnchor>
  <xdr:twoCellAnchor editAs="oneCell">
    <xdr:from>
      <xdr:col>5</xdr:col>
      <xdr:colOff>217714</xdr:colOff>
      <xdr:row>13</xdr:row>
      <xdr:rowOff>52348</xdr:rowOff>
    </xdr:from>
    <xdr:to>
      <xdr:col>8</xdr:col>
      <xdr:colOff>109963</xdr:colOff>
      <xdr:row>22</xdr:row>
      <xdr:rowOff>32655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957F427-27FF-4B41-B13D-052ACADD0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7471" y="2539734"/>
          <a:ext cx="3236766" cy="1694807"/>
        </a:xfrm>
        <a:prstGeom prst="rect">
          <a:avLst/>
        </a:prstGeom>
        <a:ln w="31750">
          <a:solidFill>
            <a:srgbClr val="FF0000"/>
          </a:solidFill>
        </a:ln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goc Dinh" refreshedDate="43393.456774305552" backgroundQuery="1" createdVersion="6" refreshedVersion="6" minRefreshableVersion="3" recordCount="0" supportSubquery="1" supportAdvancedDrill="1" xr:uid="{00000000-000A-0000-FFFF-FFFF06000000}">
  <cacheSource type="external" connectionId="2"/>
  <cacheFields count="3">
    <cacheField name="[fSales].[Product].[Product]" caption="Product" numFmtId="0" hierarchy="1" level="1">
      <sharedItems count="3">
        <s v="Bellen"/>
        <s v="Carlota"/>
        <s v="Quad"/>
      </sharedItems>
    </cacheField>
    <cacheField name="[Measures].[West-Easte Website Total Sales]" caption="West-Easte Website Total Sales" numFmtId="0" hierarchy="6" level="32767"/>
    <cacheField name="[Measures].[Total Sales West_East_WebSite]" caption="Total Sales West_East_WebSite" numFmtId="0" hierarchy="5" level="32767"/>
  </cacheFields>
  <cacheHierarchies count="9">
    <cacheHierarchy uniqueName="[fSales].[Date]" caption="Date" attribute="1" time="1" defaultMemberUniqueName="[fSales].[Date].[All]" allUniqueName="[fSales].[Date].[All]" dimensionUniqueName="[fSales]" displayFolder="" count="0" memberValueDatatype="7" unbalanced="0"/>
    <cacheHierarchy uniqueName="[fSales].[Product]" caption="Product" attribute="1" defaultMemberUniqueName="[fSales].[Product].[All]" allUniqueName="[fSales].[Product].[All]" dimensionUniqueName="[fSales]" displayFolder="" count="2" memberValueDatatype="130" unbalanced="0">
      <fieldsUsage count="2">
        <fieldUsage x="-1"/>
        <fieldUsage x="0"/>
      </fieldsUsage>
    </cacheHierarchy>
    <cacheHierarchy uniqueName="[fSales].[Region]" caption="Region" attribute="1" defaultMemberUniqueName="[fSales].[Region].[All]" allUniqueName="[fSales].[Region].[All]" dimensionUniqueName="[fSales]" displayFolder="" count="0" memberValueDatatype="130" unbalanced="0"/>
    <cacheHierarchy uniqueName="[fSales].[Channel]" caption="Channel" attribute="1" defaultMemberUniqueName="[fSales].[Channel].[All]" allUniqueName="[fSales].[Channel].[All]" dimensionUniqueName="[fSales]" displayFolder="" count="0" memberValueDatatype="130" unbalanced="0"/>
    <cacheHierarchy uniqueName="[fSales].[Sales]" caption="Sales" attribute="1" defaultMemberUniqueName="[fSales].[Sales].[All]" allUniqueName="[fSales].[Sales].[All]" dimensionUniqueName="[fSales]" displayFolder="" count="0" memberValueDatatype="5" unbalanced="0"/>
    <cacheHierarchy uniqueName="[Measures].[Total Sales West_East_WebSite]" caption="Total Sales West_East_WebSite" measure="1" displayFolder="" measureGroup="fSales" count="0" oneField="1">
      <fieldsUsage count="1">
        <fieldUsage x="2"/>
      </fieldsUsage>
    </cacheHierarchy>
    <cacheHierarchy uniqueName="[Measures].[West-Easte Website Total Sales]" caption="West-Easte Website Total Sales" measure="1" displayFolder="" measureGroup="fSales" count="0" oneField="1">
      <fieldsUsage count="1">
        <fieldUsage x="1"/>
      </fieldsUsage>
    </cacheHierarchy>
    <cacheHierarchy uniqueName="[Measures].[__XL_Count fSales]" caption="__XL_Count fSales" measure="1" displayFolder="" measureGroup="fSales" count="0" hidden="1"/>
    <cacheHierarchy uniqueName="[Measures].[__No measures defined]" caption="__No measures defined" measure="1" displayFolder="" count="0" hidden="1"/>
  </cacheHierarchies>
  <kpis count="0"/>
  <dimensions count="2">
    <dimension name="fSales" uniqueName="[fSales]" caption="fSales"/>
    <dimension measure="1" name="Measures" uniqueName="[Measures]" caption="Measures"/>
  </dimensions>
  <measureGroups count="1">
    <measureGroup name="fSales" caption="fSale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18" applyNumberFormats="0" applyBorderFormats="0" applyFontFormats="0" applyPatternFormats="0" applyAlignmentFormats="0" applyWidthHeightFormats="1" dataCaption="Values" tag="c3f927f7-e410-4382-a62e-ccc9fc6cf94c" updatedVersion="6" minRefreshableVersion="3" useAutoFormatting="1" subtotalHiddenItems="1" itemPrintTitles="1" createdVersion="6" indent="0" compact="0" compactData="0" multipleFieldFilters="0" chartFormat="1">
  <location ref="G8:I12" firstHeaderRow="0" firstDataRow="1" firstDataCol="1"/>
  <pivotFields count="3">
    <pivotField axis="axisRow" compact="0" allDrilled="1" outline="0" subtotalTop="0" showAll="0" dataSourceSort="1" defaultAttributeDrillState="1">
      <items count="4">
        <item x="0"/>
        <item x="1"/>
        <item x="2"/>
        <item t="default"/>
      </items>
    </pivotField>
    <pivotField dataField="1" compact="0" outline="0" subtotalTop="0" showAll="0"/>
    <pivotField dataField="1" compact="0" outline="0" subtotalTop="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pivotHierarchies count="9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15="http://schemas.microsoft.com/office/spreadsheetml/2010/11/main" uri="{E67621CE-5B39-4880-91FE-76760E9C1902}">
      <x15:pivotTableUISettings>
        <x15:activeTabTopLevelEntity name="[fSales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Sales" displayName="fSales" ref="A3:E17" totalsRowShown="0" headerRowDxfId="2">
  <autoFilter ref="A3:E17" xr:uid="{00000000-0009-0000-0100-000001000000}"/>
  <tableColumns count="5">
    <tableColumn id="1" xr3:uid="{00000000-0010-0000-0000-000001000000}" name="Date" dataDxfId="1"/>
    <tableColumn id="2" xr3:uid="{00000000-0010-0000-0000-000002000000}" name="Product"/>
    <tableColumn id="5" xr3:uid="{00000000-0010-0000-0000-000005000000}" name="Region"/>
    <tableColumn id="3" xr3:uid="{00000000-0010-0000-0000-000003000000}" name="Channel"/>
    <tableColumn id="4" xr3:uid="{00000000-0010-0000-0000-000004000000}" name="Sales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s://www.youtube.com/watch?v=vQziukUgITY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www.sqlbi.com/articles/the-in-operator-in-dax/" TargetMode="External"/><Relationship Id="rId1" Type="http://schemas.openxmlformats.org/officeDocument/2006/relationships/pivotTable" Target="../pivotTables/pivotTable1.xml"/><Relationship Id="rId6" Type="http://schemas.openxmlformats.org/officeDocument/2006/relationships/hyperlink" Target="https://www.youtube.com/watch?v=v-wWPGHoXY0&amp;t=145s" TargetMode="External"/><Relationship Id="rId5" Type="http://schemas.openxmlformats.org/officeDocument/2006/relationships/hyperlink" Target="https://www.youtube.com/watch?v=v-wWPGHoXY0&amp;t=145s" TargetMode="External"/><Relationship Id="rId4" Type="http://schemas.openxmlformats.org/officeDocument/2006/relationships/hyperlink" Target="https://www.youtube.com/watch?v=vQziukUgI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"/>
  <sheetViews>
    <sheetView tabSelected="1" topLeftCell="F1" zoomScale="115" zoomScaleNormal="115" workbookViewId="0">
      <selection activeCell="I24" sqref="I24"/>
    </sheetView>
  </sheetViews>
  <sheetFormatPr defaultRowHeight="15" x14ac:dyDescent="0.25"/>
  <cols>
    <col min="1" max="1" width="10.140625" customWidth="1"/>
    <col min="3" max="3" width="11.5703125" customWidth="1"/>
    <col min="4" max="4" width="11" customWidth="1"/>
    <col min="5" max="5" width="10.5703125" customWidth="1"/>
    <col min="7" max="7" width="11.28515625" customWidth="1"/>
    <col min="8" max="8" width="29.7109375" bestFit="1" customWidth="1"/>
    <col min="9" max="9" width="29.42578125" bestFit="1" customWidth="1"/>
  </cols>
  <sheetData>
    <row r="1" spans="1:21" ht="15.75" x14ac:dyDescent="0.25">
      <c r="A1" s="1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3" spans="1:21" x14ac:dyDescent="0.25">
      <c r="A3" s="2" t="s">
        <v>0</v>
      </c>
      <c r="B3" s="2" t="s">
        <v>1</v>
      </c>
      <c r="C3" s="2" t="s">
        <v>11</v>
      </c>
      <c r="D3" s="2" t="s">
        <v>2</v>
      </c>
      <c r="E3" s="2" t="s">
        <v>3</v>
      </c>
      <c r="G3" s="2" t="s">
        <v>19</v>
      </c>
      <c r="Q3" s="11" t="s">
        <v>11</v>
      </c>
      <c r="R3" s="11" t="s">
        <v>2</v>
      </c>
    </row>
    <row r="4" spans="1:21" x14ac:dyDescent="0.25">
      <c r="A4" s="4">
        <v>42884</v>
      </c>
      <c r="B4" t="s">
        <v>4</v>
      </c>
      <c r="C4" t="s">
        <v>12</v>
      </c>
      <c r="D4" t="s">
        <v>5</v>
      </c>
      <c r="E4" s="5">
        <v>400.97</v>
      </c>
      <c r="G4" s="10" t="s">
        <v>20</v>
      </c>
      <c r="Q4" s="6" t="s">
        <v>13</v>
      </c>
      <c r="R4" s="6" t="s">
        <v>5</v>
      </c>
    </row>
    <row r="5" spans="1:21" x14ac:dyDescent="0.25">
      <c r="A5" s="4">
        <v>42885</v>
      </c>
      <c r="B5" t="s">
        <v>6</v>
      </c>
      <c r="C5" t="s">
        <v>13</v>
      </c>
      <c r="D5" t="s">
        <v>7</v>
      </c>
      <c r="E5" s="5">
        <v>734.16</v>
      </c>
      <c r="G5" s="9" t="s">
        <v>18</v>
      </c>
      <c r="Q5" s="6" t="s">
        <v>12</v>
      </c>
      <c r="R5" s="6" t="s">
        <v>5</v>
      </c>
    </row>
    <row r="6" spans="1:21" x14ac:dyDescent="0.25">
      <c r="A6" s="4">
        <v>42886</v>
      </c>
      <c r="B6" t="s">
        <v>8</v>
      </c>
      <c r="C6" t="s">
        <v>14</v>
      </c>
      <c r="D6" t="s">
        <v>9</v>
      </c>
      <c r="E6" s="5">
        <v>628.54999999999995</v>
      </c>
      <c r="G6" t="s">
        <v>21</v>
      </c>
    </row>
    <row r="7" spans="1:21" x14ac:dyDescent="0.25">
      <c r="A7" s="4">
        <v>42887</v>
      </c>
      <c r="B7" t="s">
        <v>4</v>
      </c>
      <c r="C7" t="s">
        <v>13</v>
      </c>
      <c r="D7" t="s">
        <v>10</v>
      </c>
      <c r="E7" s="5">
        <v>1637.68</v>
      </c>
      <c r="Q7" s="3" t="s">
        <v>0</v>
      </c>
      <c r="R7" s="3" t="s">
        <v>1</v>
      </c>
      <c r="S7" s="3" t="s">
        <v>11</v>
      </c>
      <c r="T7" s="3" t="s">
        <v>2</v>
      </c>
      <c r="U7" s="3" t="s">
        <v>3</v>
      </c>
    </row>
    <row r="8" spans="1:21" x14ac:dyDescent="0.25">
      <c r="A8" s="4">
        <v>42888</v>
      </c>
      <c r="B8" t="s">
        <v>6</v>
      </c>
      <c r="C8" t="s">
        <v>12</v>
      </c>
      <c r="D8" t="s">
        <v>5</v>
      </c>
      <c r="E8" s="5">
        <v>407.92</v>
      </c>
      <c r="G8" s="7" t="s">
        <v>1</v>
      </c>
      <c r="H8" t="s">
        <v>27</v>
      </c>
      <c r="I8" t="s">
        <v>28</v>
      </c>
      <c r="Q8" s="6" t="b">
        <f t="shared" ref="Q8:U21" si="0">OR(AND($C4=$Q$4,$D4=$R$4),AND($C4=$Q$5,$D4=$R$5))</f>
        <v>1</v>
      </c>
      <c r="R8" s="6" t="b">
        <f t="shared" si="0"/>
        <v>1</v>
      </c>
      <c r="S8" s="6" t="b">
        <f t="shared" si="0"/>
        <v>1</v>
      </c>
      <c r="T8" s="6" t="b">
        <f t="shared" si="0"/>
        <v>1</v>
      </c>
      <c r="U8" s="6" t="b">
        <f t="shared" si="0"/>
        <v>1</v>
      </c>
    </row>
    <row r="9" spans="1:21" x14ac:dyDescent="0.25">
      <c r="A9" s="4">
        <v>42889</v>
      </c>
      <c r="B9" t="s">
        <v>8</v>
      </c>
      <c r="C9" t="s">
        <v>12</v>
      </c>
      <c r="D9" t="s">
        <v>5</v>
      </c>
      <c r="E9" s="5">
        <v>889.59</v>
      </c>
      <c r="G9" t="s">
        <v>8</v>
      </c>
      <c r="H9" s="12">
        <v>1624.69</v>
      </c>
      <c r="I9" s="12">
        <v>1624.69</v>
      </c>
      <c r="Q9" s="6" t="b">
        <f t="shared" si="0"/>
        <v>0</v>
      </c>
      <c r="R9" s="6" t="b">
        <f t="shared" si="0"/>
        <v>0</v>
      </c>
      <c r="S9" s="6" t="b">
        <f t="shared" si="0"/>
        <v>0</v>
      </c>
      <c r="T9" s="6" t="b">
        <f t="shared" si="0"/>
        <v>0</v>
      </c>
      <c r="U9" s="6" t="b">
        <f t="shared" si="0"/>
        <v>0</v>
      </c>
    </row>
    <row r="10" spans="1:21" x14ac:dyDescent="0.25">
      <c r="A10" s="4">
        <v>42890</v>
      </c>
      <c r="B10" t="s">
        <v>4</v>
      </c>
      <c r="C10" t="s">
        <v>14</v>
      </c>
      <c r="D10" t="s">
        <v>5</v>
      </c>
      <c r="E10" s="5">
        <v>410.55</v>
      </c>
      <c r="G10" t="s">
        <v>4</v>
      </c>
      <c r="H10" s="12">
        <v>699.99</v>
      </c>
      <c r="I10" s="12">
        <v>699.99</v>
      </c>
      <c r="Q10" s="6" t="b">
        <f t="shared" si="0"/>
        <v>0</v>
      </c>
      <c r="R10" s="6" t="b">
        <f t="shared" si="0"/>
        <v>0</v>
      </c>
      <c r="S10" s="6" t="b">
        <f t="shared" si="0"/>
        <v>0</v>
      </c>
      <c r="T10" s="6" t="b">
        <f t="shared" si="0"/>
        <v>0</v>
      </c>
      <c r="U10" s="6" t="b">
        <f t="shared" si="0"/>
        <v>0</v>
      </c>
    </row>
    <row r="11" spans="1:21" x14ac:dyDescent="0.25">
      <c r="A11" s="4">
        <v>42891</v>
      </c>
      <c r="B11" t="s">
        <v>6</v>
      </c>
      <c r="C11" t="s">
        <v>14</v>
      </c>
      <c r="D11" t="s">
        <v>5</v>
      </c>
      <c r="E11" s="5">
        <v>249.14</v>
      </c>
      <c r="G11" t="s">
        <v>6</v>
      </c>
      <c r="H11" s="12">
        <v>1454.01</v>
      </c>
      <c r="I11" s="12">
        <v>1454.01</v>
      </c>
      <c r="Q11" s="6" t="b">
        <f t="shared" si="0"/>
        <v>0</v>
      </c>
      <c r="R11" s="6" t="b">
        <f t="shared" si="0"/>
        <v>0</v>
      </c>
      <c r="S11" s="6" t="b">
        <f t="shared" si="0"/>
        <v>0</v>
      </c>
      <c r="T11" s="6" t="b">
        <f t="shared" si="0"/>
        <v>0</v>
      </c>
      <c r="U11" s="6" t="b">
        <f t="shared" si="0"/>
        <v>0</v>
      </c>
    </row>
    <row r="12" spans="1:21" x14ac:dyDescent="0.25">
      <c r="A12" s="4">
        <v>42892</v>
      </c>
      <c r="B12" t="s">
        <v>8</v>
      </c>
      <c r="C12" t="s">
        <v>13</v>
      </c>
      <c r="D12" t="s">
        <v>5</v>
      </c>
      <c r="E12" s="5">
        <v>735.1</v>
      </c>
      <c r="G12" t="s">
        <v>15</v>
      </c>
      <c r="H12" s="12">
        <v>3778.69</v>
      </c>
      <c r="I12" s="12">
        <v>3778.69</v>
      </c>
      <c r="Q12" s="6" t="b">
        <f t="shared" si="0"/>
        <v>1</v>
      </c>
      <c r="R12" s="6" t="b">
        <f t="shared" si="0"/>
        <v>1</v>
      </c>
      <c r="S12" s="6" t="b">
        <f t="shared" si="0"/>
        <v>1</v>
      </c>
      <c r="T12" s="6" t="b">
        <f t="shared" si="0"/>
        <v>1</v>
      </c>
      <c r="U12" s="6" t="b">
        <f t="shared" si="0"/>
        <v>1</v>
      </c>
    </row>
    <row r="13" spans="1:21" x14ac:dyDescent="0.25">
      <c r="A13" s="4">
        <v>42893</v>
      </c>
      <c r="B13" t="s">
        <v>4</v>
      </c>
      <c r="C13" t="s">
        <v>12</v>
      </c>
      <c r="D13" t="s">
        <v>10</v>
      </c>
      <c r="E13" s="5">
        <v>1538.44</v>
      </c>
      <c r="Q13" s="6" t="b">
        <f t="shared" si="0"/>
        <v>1</v>
      </c>
      <c r="R13" s="6" t="b">
        <f t="shared" si="0"/>
        <v>1</v>
      </c>
      <c r="S13" s="6" t="b">
        <f t="shared" si="0"/>
        <v>1</v>
      </c>
      <c r="T13" s="6" t="b">
        <f t="shared" si="0"/>
        <v>1</v>
      </c>
      <c r="U13" s="6" t="b">
        <f t="shared" si="0"/>
        <v>1</v>
      </c>
    </row>
    <row r="14" spans="1:21" x14ac:dyDescent="0.25">
      <c r="A14" s="4">
        <v>42894</v>
      </c>
      <c r="B14" t="s">
        <v>6</v>
      </c>
      <c r="C14" t="s">
        <v>12</v>
      </c>
      <c r="D14" t="s">
        <v>10</v>
      </c>
      <c r="E14" s="5">
        <v>1765.85</v>
      </c>
      <c r="Q14" s="6" t="b">
        <f t="shared" si="0"/>
        <v>0</v>
      </c>
      <c r="R14" s="6" t="b">
        <f t="shared" si="0"/>
        <v>0</v>
      </c>
      <c r="S14" s="6" t="b">
        <f t="shared" si="0"/>
        <v>0</v>
      </c>
      <c r="T14" s="6" t="b">
        <f t="shared" si="0"/>
        <v>0</v>
      </c>
      <c r="U14" s="6" t="b">
        <f t="shared" si="0"/>
        <v>0</v>
      </c>
    </row>
    <row r="15" spans="1:21" x14ac:dyDescent="0.25">
      <c r="A15" s="4">
        <v>42895</v>
      </c>
      <c r="B15" t="s">
        <v>8</v>
      </c>
      <c r="C15" t="s">
        <v>13</v>
      </c>
      <c r="D15" t="s">
        <v>7</v>
      </c>
      <c r="E15" s="5">
        <v>274.60000000000002</v>
      </c>
      <c r="Q15" s="6" t="b">
        <f t="shared" si="0"/>
        <v>0</v>
      </c>
      <c r="R15" s="6" t="b">
        <f t="shared" si="0"/>
        <v>0</v>
      </c>
      <c r="S15" s="6" t="b">
        <f t="shared" si="0"/>
        <v>0</v>
      </c>
      <c r="T15" s="6" t="b">
        <f t="shared" si="0"/>
        <v>0</v>
      </c>
      <c r="U15" s="6" t="b">
        <f t="shared" si="0"/>
        <v>0</v>
      </c>
    </row>
    <row r="16" spans="1:21" x14ac:dyDescent="0.25">
      <c r="A16" s="4">
        <v>42896</v>
      </c>
      <c r="B16" t="s">
        <v>4</v>
      </c>
      <c r="C16" t="s">
        <v>13</v>
      </c>
      <c r="D16" t="s">
        <v>5</v>
      </c>
      <c r="E16" s="5">
        <v>299.02</v>
      </c>
      <c r="Q16" s="6" t="b">
        <f t="shared" si="0"/>
        <v>1</v>
      </c>
      <c r="R16" s="6" t="b">
        <f t="shared" si="0"/>
        <v>1</v>
      </c>
      <c r="S16" s="6" t="b">
        <f t="shared" si="0"/>
        <v>1</v>
      </c>
      <c r="T16" s="6" t="b">
        <f t="shared" si="0"/>
        <v>1</v>
      </c>
      <c r="U16" s="6" t="b">
        <f t="shared" si="0"/>
        <v>1</v>
      </c>
    </row>
    <row r="17" spans="1:21" x14ac:dyDescent="0.25">
      <c r="A17" s="4">
        <v>42897</v>
      </c>
      <c r="B17" t="s">
        <v>6</v>
      </c>
      <c r="C17" t="s">
        <v>13</v>
      </c>
      <c r="D17" t="s">
        <v>5</v>
      </c>
      <c r="E17" s="5">
        <v>1046.0899999999999</v>
      </c>
      <c r="Q17" s="6" t="b">
        <f t="shared" si="0"/>
        <v>0</v>
      </c>
      <c r="R17" s="6" t="b">
        <f t="shared" si="0"/>
        <v>0</v>
      </c>
      <c r="S17" s="6" t="b">
        <f t="shared" si="0"/>
        <v>0</v>
      </c>
      <c r="T17" s="6" t="b">
        <f t="shared" si="0"/>
        <v>0</v>
      </c>
      <c r="U17" s="6" t="b">
        <f t="shared" si="0"/>
        <v>0</v>
      </c>
    </row>
    <row r="18" spans="1:21" x14ac:dyDescent="0.25">
      <c r="Q18" s="6" t="b">
        <f t="shared" si="0"/>
        <v>0</v>
      </c>
      <c r="R18" s="6" t="b">
        <f t="shared" si="0"/>
        <v>0</v>
      </c>
      <c r="S18" s="6" t="b">
        <f t="shared" si="0"/>
        <v>0</v>
      </c>
      <c r="T18" s="6" t="b">
        <f t="shared" si="0"/>
        <v>0</v>
      </c>
      <c r="U18" s="6" t="b">
        <f t="shared" si="0"/>
        <v>0</v>
      </c>
    </row>
    <row r="19" spans="1:21" x14ac:dyDescent="0.25">
      <c r="A19" s="8" t="s">
        <v>22</v>
      </c>
      <c r="Q19" s="6" t="b">
        <f t="shared" si="0"/>
        <v>0</v>
      </c>
      <c r="R19" s="6" t="b">
        <f t="shared" si="0"/>
        <v>0</v>
      </c>
      <c r="S19" s="6" t="b">
        <f t="shared" si="0"/>
        <v>0</v>
      </c>
      <c r="T19" s="6" t="b">
        <f t="shared" si="0"/>
        <v>0</v>
      </c>
      <c r="U19" s="6" t="b">
        <f t="shared" si="0"/>
        <v>0</v>
      </c>
    </row>
    <row r="20" spans="1:21" x14ac:dyDescent="0.25">
      <c r="A20" s="8" t="s">
        <v>23</v>
      </c>
      <c r="Q20" s="6" t="b">
        <f t="shared" si="0"/>
        <v>1</v>
      </c>
      <c r="R20" s="6" t="b">
        <f t="shared" si="0"/>
        <v>1</v>
      </c>
      <c r="S20" s="6" t="b">
        <f t="shared" si="0"/>
        <v>1</v>
      </c>
      <c r="T20" s="6" t="b">
        <f t="shared" si="0"/>
        <v>1</v>
      </c>
      <c r="U20" s="6" t="b">
        <f t="shared" si="0"/>
        <v>1</v>
      </c>
    </row>
    <row r="21" spans="1:21" x14ac:dyDescent="0.25">
      <c r="A21" s="8" t="s">
        <v>24</v>
      </c>
      <c r="Q21" s="6" t="b">
        <f t="shared" si="0"/>
        <v>1</v>
      </c>
      <c r="R21" s="6" t="b">
        <f t="shared" si="0"/>
        <v>1</v>
      </c>
      <c r="S21" s="6" t="b">
        <f t="shared" si="0"/>
        <v>1</v>
      </c>
      <c r="T21" s="6" t="b">
        <f t="shared" si="0"/>
        <v>1</v>
      </c>
      <c r="U21" s="6" t="b">
        <f t="shared" si="0"/>
        <v>1</v>
      </c>
    </row>
    <row r="22" spans="1:21" x14ac:dyDescent="0.25">
      <c r="A22" s="8" t="s">
        <v>25</v>
      </c>
    </row>
    <row r="23" spans="1:21" x14ac:dyDescent="0.25">
      <c r="A23" t="s">
        <v>17</v>
      </c>
    </row>
    <row r="24" spans="1:21" x14ac:dyDescent="0.25">
      <c r="A24" s="8" t="s">
        <v>16</v>
      </c>
    </row>
  </sheetData>
  <conditionalFormatting sqref="Q8:U21">
    <cfRule type="expression" dxfId="4" priority="1">
      <formula>$Q8=TRUE</formula>
    </cfRule>
  </conditionalFormatting>
  <conditionalFormatting sqref="A4:E17">
    <cfRule type="expression" dxfId="3" priority="7">
      <formula>OR(AND($C4=$Q$4,$D4=$R$4),AND($C4=$Q$5,$D4=$R$5))</formula>
    </cfRule>
  </conditionalFormatting>
  <hyperlinks>
    <hyperlink ref="A24" r:id="rId2" xr:uid="{00000000-0004-0000-0000-000000000000}"/>
    <hyperlink ref="A19" r:id="rId3" xr:uid="{00000000-0004-0000-0000-000001000000}"/>
    <hyperlink ref="A20" r:id="rId4" xr:uid="{00000000-0004-0000-0000-000002000000}"/>
    <hyperlink ref="A21" r:id="rId5" xr:uid="{00000000-0004-0000-0000-000003000000}"/>
    <hyperlink ref="A22" r:id="rId6" xr:uid="{00000000-0004-0000-0000-000004000000}"/>
  </hyperlinks>
  <pageMargins left="0.7" right="0.7" top="0.75" bottom="0.75" header="0.3" footer="0.3"/>
  <drawing r:id="rId7"/>
  <tableParts count="1">
    <tablePart r:id="rId8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F5A89A5A-2E57-4676-9CB3-6188D4A2D2B6}">
  <ds:schemaRefs/>
</ds:datastoreItem>
</file>

<file path=customXml/itemProps2.xml><?xml version="1.0" encoding="utf-8"?>
<ds:datastoreItem xmlns:ds="http://schemas.openxmlformats.org/officeDocument/2006/customXml" ds:itemID="{0F60880E-2BEC-454E-A281-62B6F649EB39}">
  <ds:schemaRefs/>
</ds:datastoreItem>
</file>

<file path=customXml/itemProps3.xml><?xml version="1.0" encoding="utf-8"?>
<ds:datastoreItem xmlns:ds="http://schemas.openxmlformats.org/officeDocument/2006/customXml" ds:itemID="{016EA6BB-5AED-470E-967D-629E0B1AC465}">
  <ds:schemaRefs/>
</ds:datastoreItem>
</file>

<file path=customXml/itemProps4.xml><?xml version="1.0" encoding="utf-8"?>
<ds:datastoreItem xmlns:ds="http://schemas.openxmlformats.org/officeDocument/2006/customXml" ds:itemID="{C18D57B2-548D-4569-9005-21FB504D9145}">
  <ds:schemaRefs/>
</ds:datastoreItem>
</file>

<file path=customXml/itemProps5.xml><?xml version="1.0" encoding="utf-8"?>
<ds:datastoreItem xmlns:ds="http://schemas.openxmlformats.org/officeDocument/2006/customXml" ds:itemID="{D0FD5705-04EE-4B04-8D2D-E71300EE71CB}">
  <ds:schemaRefs/>
</ds:datastoreItem>
</file>

<file path=customXml/itemProps6.xml><?xml version="1.0" encoding="utf-8"?>
<ds:datastoreItem xmlns:ds="http://schemas.openxmlformats.org/officeDocument/2006/customXml" ds:itemID="{DD6CF781-2C5B-483E-85CE-D4DE51D51C53}">
  <ds:schemaRefs/>
</ds:datastoreItem>
</file>

<file path=customXml/itemProps7.xml><?xml version="1.0" encoding="utf-8"?>
<ds:datastoreItem xmlns:ds="http://schemas.openxmlformats.org/officeDocument/2006/customXml" ds:itemID="{9BCF7E16-EE1A-4CCE-9041-D437DC810ABF}">
  <ds:schemaRefs/>
</ds:datastoreItem>
</file>

<file path=customXml/itemProps8.xml><?xml version="1.0" encoding="utf-8"?>
<ds:datastoreItem xmlns:ds="http://schemas.openxmlformats.org/officeDocument/2006/customXml" ds:itemID="{48CDB3FB-48F3-4338-9381-3A07E1C0AF48}">
  <ds:schemaRefs/>
</ds:datastoreItem>
</file>

<file path=customXml/itemProps9.xml><?xml version="1.0" encoding="utf-8"?>
<ds:datastoreItem xmlns:ds="http://schemas.openxmlformats.org/officeDocument/2006/customXml" ds:itemID="{69BAAF1F-233C-4D01-9DA5-A73E5003A9DB}">
  <ds:schemaRefs/>
</ds:datastoreItem>
</file>

<file path=customXml/itemProps10.xml><?xml version="1.0" encoding="utf-8"?>
<ds:datastoreItem xmlns:ds="http://schemas.openxmlformats.org/officeDocument/2006/customXml" ds:itemID="{53CB28A6-0F5E-4DCE-8371-408C25B5E2C9}">
  <ds:schemaRefs/>
</ds:datastoreItem>
</file>

<file path=customXml/itemProps11.xml><?xml version="1.0" encoding="utf-8"?>
<ds:datastoreItem xmlns:ds="http://schemas.openxmlformats.org/officeDocument/2006/customXml" ds:itemID="{B067789A-96C1-46B3-8761-C635E5B53BA0}">
  <ds:schemaRefs/>
</ds:datastoreItem>
</file>

<file path=customXml/itemProps12.xml><?xml version="1.0" encoding="utf-8"?>
<ds:datastoreItem xmlns:ds="http://schemas.openxmlformats.org/officeDocument/2006/customXml" ds:itemID="{BB822D2E-CFAA-4B7F-BB90-509458E6B7CE}">
  <ds:schemaRefs/>
</ds:datastoreItem>
</file>

<file path=customXml/itemProps13.xml><?xml version="1.0" encoding="utf-8"?>
<ds:datastoreItem xmlns:ds="http://schemas.openxmlformats.org/officeDocument/2006/customXml" ds:itemID="{226E7FB7-51EA-42F7-95E7-74799342C1B2}">
  <ds:schemaRefs/>
</ds:datastoreItem>
</file>

<file path=customXml/itemProps14.xml><?xml version="1.0" encoding="utf-8"?>
<ds:datastoreItem xmlns:ds="http://schemas.openxmlformats.org/officeDocument/2006/customXml" ds:itemID="{44802074-ADE2-4AB6-A1E4-A49FCE19AA5B}">
  <ds:schemaRefs/>
</ds:datastoreItem>
</file>

<file path=customXml/itemProps15.xml><?xml version="1.0" encoding="utf-8"?>
<ds:datastoreItem xmlns:ds="http://schemas.openxmlformats.org/officeDocument/2006/customXml" ds:itemID="{38458AD5-84D1-4718-A688-7030E0E1A104}">
  <ds:schemaRefs/>
</ds:datastoreItem>
</file>

<file path=customXml/itemProps16.xml><?xml version="1.0" encoding="utf-8"?>
<ds:datastoreItem xmlns:ds="http://schemas.openxmlformats.org/officeDocument/2006/customXml" ds:itemID="{BEBBBA03-E2EC-4880-A317-D4FFE806B6B2}">
  <ds:schemaRefs/>
</ds:datastoreItem>
</file>

<file path=customXml/itemProps17.xml><?xml version="1.0" encoding="utf-8"?>
<ds:datastoreItem xmlns:ds="http://schemas.openxmlformats.org/officeDocument/2006/customXml" ds:itemID="{15132EE6-F9E4-48C0-8957-29A432F2FC00}">
  <ds:schemaRefs/>
</ds:datastoreItem>
</file>

<file path=customXml/itemProps18.xml><?xml version="1.0" encoding="utf-8"?>
<ds:datastoreItem xmlns:ds="http://schemas.openxmlformats.org/officeDocument/2006/customXml" ds:itemID="{37E35640-6E36-4755-BF5A-BCE546052D0A}">
  <ds:schemaRefs/>
</ds:datastoreItem>
</file>

<file path=customXml/itemProps19.xml><?xml version="1.0" encoding="utf-8"?>
<ds:datastoreItem xmlns:ds="http://schemas.openxmlformats.org/officeDocument/2006/customXml" ds:itemID="{C3B2DCDB-56D4-4108-8874-71945C1446B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Girvin, Michael</dc:creator>
  <cp:lastModifiedBy>Ngoc Dinh</cp:lastModifiedBy>
  <dcterms:created xsi:type="dcterms:W3CDTF">2017-05-30T19:26:23Z</dcterms:created>
  <dcterms:modified xsi:type="dcterms:W3CDTF">2018-10-20T03:57:49Z</dcterms:modified>
</cp:coreProperties>
</file>