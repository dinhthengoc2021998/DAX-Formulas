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2108014F-9A52-40B8-802E-824628859A7A}" xr6:coauthVersionLast="37" xr6:coauthVersionMax="37" xr10:uidLastSave="{00000000-0000-0000-0000-000000000000}"/>
  <bookViews>
    <workbookView xWindow="0" yWindow="0" windowWidth="24000" windowHeight="9210" activeTab="1" xr2:uid="{00000000-000D-0000-FFFF-FFFF00000000}"/>
  </bookViews>
  <sheets>
    <sheet name="Sheet1" sheetId="2" r:id="rId1"/>
    <sheet name="Tables" sheetId="1" r:id="rId2"/>
  </sheets>
  <definedNames>
    <definedName name="_xlcn.WorksheetConnection_EMT1378Start.xlsxdCustomer1" hidden="1">dCustomer[]</definedName>
    <definedName name="_xlcn.WorksheetConnection_EMT1378Start.xlsxdProduct1" hidden="1">dProduct[]</definedName>
    <definedName name="_xlcn.WorksheetConnection_EMT1378Start.xlsxfSales1" hidden="1">fSales[]</definedName>
    <definedName name="dCustomer_1" localSheetId="0" hidden="1">Sheet1!$B$14:$E$17</definedName>
  </definedNames>
  <calcPr calcId="179021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" name="fSales" connection="WorksheetConnection_EMT1378Start.xlsx!fSales"/>
          <x15:modelTable id="dCustomer" name="dCustomer" connection="WorksheetConnection_EMT1378Start.xlsx!dCustomer"/>
          <x15:modelTable id="dProduct" name="dProduct" connection="WorksheetConnection_EMT1378Start.xlsx!dProduct"/>
        </x15:modelTables>
        <x15:modelRelationships>
          <x15:modelRelationship fromTable="fSales" fromColumn="Customer Key" toTable="dCustomer" toColumn="Customer Key"/>
          <x15:modelRelationship fromTable="fSales" fromColumn="Product" toTable="dProduct" toColumn="Produc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9" i="1" l="1" a="1"/>
  <c r="I19" i="1" s="1"/>
  <c r="I20" i="1" a="1"/>
  <c r="I20" i="1" s="1"/>
  <c r="I21" i="1" a="1"/>
  <c r="I21" i="1" s="1"/>
  <c r="I18" i="1" a="1"/>
  <c r="I18" i="1" s="1"/>
  <c r="G19" i="1" a="1"/>
  <c r="G19" i="1" s="1"/>
  <c r="G20" i="1" a="1"/>
  <c r="G20" i="1" s="1"/>
  <c r="G21" i="1" a="1"/>
  <c r="G21" i="1" s="1"/>
  <c r="G18" i="1" a="1"/>
  <c r="G18" i="1" s="1"/>
  <c r="H19" i="1" a="1"/>
  <c r="H19" i="1" s="1"/>
  <c r="H20" i="1" a="1"/>
  <c r="H20" i="1" s="1"/>
  <c r="H21" i="1" a="1"/>
  <c r="H21" i="1" s="1"/>
  <c r="H18" i="1" a="1"/>
  <c r="H18" i="1" s="1"/>
  <c r="G12" i="1"/>
  <c r="H12" i="1"/>
  <c r="I12" i="1"/>
  <c r="G13" i="1"/>
  <c r="H13" i="1"/>
  <c r="I13" i="1"/>
  <c r="G14" i="1"/>
  <c r="H14" i="1"/>
  <c r="I14" i="1"/>
  <c r="H11" i="1"/>
  <c r="I11" i="1"/>
  <c r="G11" i="1"/>
  <c r="M16" i="1"/>
  <c r="L16" i="1"/>
  <c r="M12" i="1" l="1"/>
  <c r="G15" i="1"/>
  <c r="L14" i="1"/>
  <c r="L13" i="1"/>
  <c r="L12" i="1"/>
  <c r="I15" i="1"/>
  <c r="M14" i="1"/>
  <c r="H15" i="1"/>
  <c r="J15" i="1" s="1"/>
  <c r="J14" i="1"/>
  <c r="L11" i="1"/>
  <c r="M13" i="1"/>
  <c r="M11" i="1"/>
  <c r="J11" i="1"/>
  <c r="J13" i="1"/>
  <c r="J12" i="1"/>
  <c r="AA2" i="1"/>
  <c r="Z2" i="1" s="1"/>
  <c r="Y2" i="1"/>
  <c r="AB2" i="1"/>
  <c r="M15" i="1" l="1"/>
  <c r="L15" i="1"/>
  <c r="G26" i="1"/>
  <c r="H26" i="1"/>
  <c r="I26" i="1"/>
  <c r="G27" i="1"/>
  <c r="H27" i="1"/>
  <c r="I27" i="1"/>
  <c r="G28" i="1"/>
  <c r="H28" i="1"/>
  <c r="I28" i="1"/>
  <c r="G29" i="1"/>
  <c r="H29" i="1"/>
  <c r="I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93EFE3-EB07-485D-BC81-BD1F39A24562}" keepAlive="1" name="ModelConnection_dCustomer_1" description="Data Model" type="5" refreshedVersion="6" minRefreshableVersion="5" saveData="1">
    <dbPr connection="Data Model Connection" command="Evaluate_x000d__x000a_calculate(all(dCustomer[Customer Key]), related(dProduct[Product])=&quot;Aspen&quot;)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7325CAD-C250-4B33-A011-7E9063D55A15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D2938CB-EB6A-48C2-AF89-64B3C71BE295}" name="WorksheetConnection_EMT1378Start.xlsx!dCustomer" type="102" refreshedVersion="6" minRefreshableVersion="5">
    <extLst>
      <ext xmlns:x15="http://schemas.microsoft.com/office/spreadsheetml/2010/11/main" uri="{DE250136-89BD-433C-8126-D09CA5730AF9}">
        <x15:connection id="dCustomer">
          <x15:rangePr sourceName="_xlcn.WorksheetConnection_EMT1378Start.xlsxdCustomer1"/>
        </x15:connection>
      </ext>
    </extLst>
  </connection>
  <connection id="4" xr16:uid="{7411120D-57A3-400F-83F8-166BEEE2DCDB}" name="WorksheetConnection_EMT1378Start.xlsx!dProduct" type="102" refreshedVersion="6" minRefreshableVersion="5">
    <extLst>
      <ext xmlns:x15="http://schemas.microsoft.com/office/spreadsheetml/2010/11/main" uri="{DE250136-89BD-433C-8126-D09CA5730AF9}">
        <x15:connection id="dProduct">
          <x15:rangePr sourceName="_xlcn.WorksheetConnection_EMT1378Start.xlsxdProduct1"/>
        </x15:connection>
      </ext>
    </extLst>
  </connection>
  <connection id="5" xr16:uid="{E0BD3E1D-EC1F-4F59-9D08-4C5CABFF1504}" name="WorksheetConnection_EMT1378Start.xlsx!fSales" type="102" refreshedVersion="6" minRefreshableVersion="5">
    <extLst>
      <ext xmlns:x15="http://schemas.microsoft.com/office/spreadsheetml/2010/11/main" uri="{DE250136-89BD-433C-8126-D09CA5730AF9}">
        <x15:connection id="fSales">
          <x15:rangePr sourceName="_xlcn.WorksheetConnection_EMT1378Start.xlsxfSales1"/>
        </x15:connection>
      </ext>
    </extLst>
  </connection>
</connections>
</file>

<file path=xl/sharedStrings.xml><?xml version="1.0" encoding="utf-8"?>
<sst xmlns="http://schemas.openxmlformats.org/spreadsheetml/2006/main" count="96" uniqueCount="36">
  <si>
    <t>Sales</t>
  </si>
  <si>
    <t>Product</t>
  </si>
  <si>
    <t>Customer Key</t>
  </si>
  <si>
    <t>Customer</t>
  </si>
  <si>
    <t>State</t>
  </si>
  <si>
    <t>Contact</t>
  </si>
  <si>
    <t>CA</t>
  </si>
  <si>
    <t>PCC</t>
  </si>
  <si>
    <t>WA</t>
  </si>
  <si>
    <t>Sunny</t>
  </si>
  <si>
    <t>WFM</t>
  </si>
  <si>
    <t>Min</t>
  </si>
  <si>
    <t>Kippers</t>
  </si>
  <si>
    <t>OR</t>
  </si>
  <si>
    <t>Kip</t>
  </si>
  <si>
    <t>Date</t>
  </si>
  <si>
    <t>Price</t>
  </si>
  <si>
    <t>Cost</t>
  </si>
  <si>
    <t>Manufacturer</t>
  </si>
  <si>
    <t>Quad</t>
  </si>
  <si>
    <t>Gel Booms</t>
  </si>
  <si>
    <t>Aspen</t>
  </si>
  <si>
    <t>Colorado Booms</t>
  </si>
  <si>
    <t>Sunset</t>
  </si>
  <si>
    <t>Eagle</t>
  </si>
  <si>
    <t>Channel Craft</t>
  </si>
  <si>
    <t>Product/Customers</t>
  </si>
  <si>
    <t>Average of Customer Total Sales by Product</t>
  </si>
  <si>
    <t>Sum of Sales by Product &amp; Customer</t>
  </si>
  <si>
    <t>Count of Sales by Product &amp; Customer</t>
  </si>
  <si>
    <t>Ave Not Work</t>
  </si>
  <si>
    <t>Totals</t>
  </si>
  <si>
    <t>Excel Magic Trick 1378: Average of Customer Total Sales by Product: Excel Formulas, DAX or Single Cell Array Formula?</t>
  </si>
  <si>
    <t>Grand Total</t>
  </si>
  <si>
    <t>Average of Sales AverageX</t>
  </si>
  <si>
    <t>Average of Sales Sum/Count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</si>
</sst>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\$#,##0.00;\(\$#,##0.00\);\$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164" fontId="0" fillId="4" borderId="1" xfId="0" applyNumberFormat="1" applyFill="1" applyBorder="1"/>
    <xf numFmtId="164" fontId="0" fillId="0" borderId="0" xfId="0" applyNumberFormat="1" applyFill="1"/>
    <xf numFmtId="0" fontId="0" fillId="0" borderId="0" xfId="0" applyFill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164" fontId="0" fillId="5" borderId="1" xfId="0" applyNumberFormat="1" applyFill="1" applyBorder="1"/>
    <xf numFmtId="0" fontId="1" fillId="2" borderId="1" xfId="0" applyFont="1" applyFill="1" applyBorder="1" applyAlignment="1">
      <alignment wrapText="1"/>
    </xf>
    <xf numFmtId="0" fontId="0" fillId="0" borderId="0" xfId="0" applyFont="1"/>
    <xf numFmtId="0" fontId="3" fillId="6" borderId="0" xfId="0" applyFont="1" applyFill="1"/>
    <xf numFmtId="0" fontId="4" fillId="6" borderId="0" xfId="0" applyFont="1" applyFill="1"/>
    <xf numFmtId="0" fontId="0" fillId="0" borderId="0" xfId="0" pivotButton="1"/>
    <xf numFmtId="165" fontId="0" fillId="0" borderId="0" xfId="0" applyNumberFormat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numFmt numFmtId="0" formatCode="General"/>
    </dxf>
    <dxf>
      <numFmt numFmtId="164" formatCode="&quot;$&quot;#,##0.0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34" Type="http://schemas.openxmlformats.org/officeDocument/2006/relationships/customXml" Target="../customXml/item25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33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Relationship Id="rId35" Type="http://schemas.openxmlformats.org/officeDocument/2006/relationships/customXml" Target="../customXml/item26.xml"/><Relationship Id="rId8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84.546982291664" createdVersion="5" refreshedVersion="6" minRefreshableVersion="3" recordCount="0" supportSubquery="1" supportAdvancedDrill="1" xr:uid="{B60EE3B1-0D78-41A9-A6D4-784D16BC472D}">
  <cacheSource type="external" connectionId="2"/>
  <cacheFields count="3">
    <cacheField name="[dProduct].[Product].[Product]" caption="Product" numFmtId="0" hierarchy="4" level="1">
      <sharedItems count="4">
        <s v="Aspen"/>
        <s v="Eagle"/>
        <s v="Quad"/>
        <s v="Sunset"/>
      </sharedItems>
    </cacheField>
    <cacheField name="[Measures].[Average of Sales AverageX]" caption="Average of Sales AverageX" numFmtId="0" hierarchy="12" level="32767"/>
    <cacheField name="[Measures].[Average of Sales Sum/Count]" caption="Average of Sales Sum/Count" numFmtId="0" hierarchy="13" level="32767"/>
  </cacheFields>
  <cacheHierarchies count="18">
    <cacheHierarchy uniqueName="[dCustomer].[Customer Key]" caption="Customer Key" attribute="1" defaultMemberUniqueName="[dCustomer].[Customer Key].[All]" allUniqueName="[dCustomer].[Customer Key].[All]" dimensionUniqueName="[dCustomer]" displayFolder="" count="0" memberValueDatatype="20" unbalanced="0"/>
    <cacheHierarchy uniqueName="[dCustomer].[Customer]" caption="Customer" attribute="1" defaultMemberUniqueName="[dCustomer].[Customer].[All]" allUniqueName="[dCustomer].[Customer].[All]" dimensionUniqueName="[dCustomer]" displayFolder="" count="0" memberValueDatatype="130" unbalanced="0"/>
    <cacheHierarchy uniqueName="[dCustomer].[State]" caption="State" attribute="1" defaultMemberUniqueName="[dCustomer].[State].[All]" allUniqueName="[dCustomer].[State].[All]" dimensionUniqueName="[dCustomer]" displayFolder="" count="0" memberValueDatatype="130" unbalanced="0"/>
    <cacheHierarchy uniqueName="[dCustomer].[Contact]" caption="Contact" attribute="1" defaultMemberUniqueName="[dCustomer].[Contact].[All]" allUniqueName="[dCustomer].[Contact].[All]" dimensionUniqueName="[dCustomer]" displayFolder="" count="0" memberValueDatatype="130" unbalanced="0"/>
    <cacheHierarchy uniqueName="[dProduct].[Product]" caption="Product" attribute="1" defaultMemberUniqueName="[dProduct].[Product].[All]" allUniqueName="[dProduct].[Product].[All]" dimensionUniqueName="[dProduct]" displayFolder="" count="2" memberValueDatatype="130" unbalanced="0">
      <fieldsUsage count="2">
        <fieldUsage x="-1"/>
        <fieldUsage x="0"/>
      </fieldsUsage>
    </cacheHierarchy>
    <cacheHierarchy uniqueName="[dProduct].[Price]" caption="Price" attribute="1" defaultMemberUniqueName="[dProduct].[Price].[All]" allUniqueName="[dProduct].[Price].[All]" dimensionUniqueName="[dProduct]" displayFolder="" count="0" memberValueDatatype="5" unbalanced="0"/>
    <cacheHierarchy uniqueName="[dProduct].[Cost]" caption="Cost" attribute="1" defaultMemberUniqueName="[dProduct].[Cost].[All]" allUniqueName="[dProduct].[Cost].[All]" dimensionUniqueName="[dProduct]" displayFolder="" count="0" memberValueDatatype="5" unbalanced="0"/>
    <cacheHierarchy uniqueName="[dProduct].[Manufacturer]" caption="Manufacturer" attribute="1" defaultMemberUniqueName="[dProduct].[Manufacturer].[All]" allUniqueName="[dProduct].[Manufacturer].[All]" dimensionUniqueName="[dProduct]" displayFolder="" count="0" memberValueDatatype="130" unbalanced="0"/>
    <cacheHierarchy uniqueName="[fSales].[Date]" caption="Date" attribute="1" time="1" defaultMemberUniqueName="[fSales].[Date].[All]" allUniqueName="[fSales].[Date].[All]" dimensionUniqueName="[fSales]" displayFolder="" count="0" memberValueDatatype="7" unbalanced="0"/>
    <cacheHierarchy uniqueName="[fSales].[Sales]" caption="Sales" attribute="1" defaultMemberUniqueName="[fSales].[Sales].[All]" allUniqueName="[fSales].[Sales].[All]" dimensionUniqueName="[fSales]" displayFolder="" count="0" memberValueDatatype="5" unbalanced="0"/>
    <cacheHierarchy uniqueName="[fSales].[Product]" caption="Product" attribute="1" defaultMemberUniqueName="[fSales].[Product].[All]" allUniqueName="[fSales].[Product].[All]" dimensionUniqueName="[fSales]" displayFolder="" count="0" memberValueDatatype="130" unbalanced="0"/>
    <cacheHierarchy uniqueName="[fSales].[Customer Key]" caption="Customer Key" attribute="1" defaultMemberUniqueName="[fSales].[Customer Key].[All]" allUniqueName="[fSales].[Customer Key].[All]" dimensionUniqueName="[fSales]" displayFolder="" count="0" memberValueDatatype="20" unbalanced="0"/>
    <cacheHierarchy uniqueName="[Measures].[Average of Sales AverageX]" caption="Average of Sales AverageX" measure="1" displayFolder="" measureGroup="fSales" count="0" oneField="1">
      <fieldsUsage count="1">
        <fieldUsage x="1"/>
      </fieldsUsage>
    </cacheHierarchy>
    <cacheHierarchy uniqueName="[Measures].[Average of Sales Sum/Count]" caption="Average of Sales Sum/Count" measure="1" displayFolder="" measureGroup="fSales" count="0" oneField="1">
      <fieldsUsage count="1">
        <fieldUsage x="2"/>
      </fieldsUsage>
    </cacheHierarchy>
    <cacheHierarchy uniqueName="[Measures].[__XL_Count fSales]" caption="__XL_Count fSales" measure="1" displayFolder="" measureGroup="fSales" count="0" hidden="1"/>
    <cacheHierarchy uniqueName="[Measures].[__XL_Count dCustomer]" caption="__XL_Count dCustomer" measure="1" displayFolder="" measureGroup="dCustomer" count="0" hidden="1"/>
    <cacheHierarchy uniqueName="[Measures].[__XL_Count dProduct]" caption="__XL_Count dProduct" measure="1" displayFolder="" measureGroup="dProduct" count="0" hidden="1"/>
    <cacheHierarchy uniqueName="[Measures].[__No measures defined]" caption="__No measures defined" measure="1" displayFolder="" count="0" hidden="1"/>
  </cacheHierarchies>
  <kpis count="0"/>
  <dimensions count="4">
    <dimension name="dCustomer" uniqueName="[dCustomer]" caption="dCustomer"/>
    <dimension name="dProduct" uniqueName="[dProduct]" caption="dProduct"/>
    <dimension name="fSales" uniqueName="[fSales]" caption="fSales"/>
    <dimension measure="1" name="Measures" uniqueName="[Measures]" caption="Measures"/>
  </dimensions>
  <measureGroups count="3">
    <measureGroup name="dCustomer" caption="dCustomer"/>
    <measureGroup name="dProduct" caption="dProduct"/>
    <measureGroup name="fSales" caption="f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C9B33-55EE-46AC-A021-1C96D321281C}" name="PivotTable1" cacheId="19" applyNumberFormats="0" applyBorderFormats="0" applyFontFormats="0" applyPatternFormats="0" applyAlignmentFormats="0" applyWidthHeightFormats="1" dataCaption="Values" tag="56e3faaa-626a-42fb-aa57-352106aa7a7f" updatedVersion="6" minRefreshableVersion="3" useAutoFormatting="1" itemPrintTitles="1" createdVersion="5" indent="0" compact="0" compactData="0" multipleFieldFilters="0">
  <location ref="B3:D8" firstHeaderRow="0" firstDataRow="1" firstDataCol="1"/>
  <pivotFields count="3">
    <pivotField axis="axisRow" compact="0" allDrilled="1" outline="0" subtotalTop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ubtotalTop="0" showAll="0"/>
    <pivotField dataField="1" compact="0" outline="0" subtotalTop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roduct]"/>
        <x15:activeTabTopLevelEntity name="[fSale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Customer_1" backgroundRefresh="0" connectionId="1" xr16:uid="{3CB96CCB-630F-46B0-B841-A30A35B5D415}" autoFormatId="16" applyNumberFormats="0" applyBorderFormats="0" applyFontFormats="0" applyPatternFormats="0" applyAlignmentFormats="0" applyWidthHeightFormats="0">
  <queryTableRefresh nextId="5">
    <queryTableFields count="4">
      <queryTableField id="1" name="Customer Key" tableColumnId="1"/>
      <queryTableField id="2" name="Customer" tableColumnId="2"/>
      <queryTableField id="3" name="State" tableColumnId="3"/>
      <queryTableField id="4" name="Contac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712DD8-FC79-40D0-903F-7F22C7D9C237}" name="Table_dCustomer_1" displayName="Table_dCustomer_1" ref="B14:E17" tableType="queryTable" totalsRowShown="0">
  <autoFilter ref="B14:E17" xr:uid="{57F52278-5E00-4717-8189-8E5DD31AF534}"/>
  <tableColumns count="4">
    <tableColumn id="1" xr3:uid="{82392CB2-B37A-4293-B7C2-A87077A0D4A7}" uniqueName="1" name="Customer Key" queryTableFieldId="1"/>
    <tableColumn id="2" xr3:uid="{CA7955D4-4324-49CB-9F07-1C04FD520811}" uniqueName="2" name="Customer" queryTableFieldId="2"/>
    <tableColumn id="3" xr3:uid="{652CD5E5-A86C-42D1-9030-A16331A44D6D}" uniqueName="3" name="State" queryTableFieldId="3"/>
    <tableColumn id="4" xr3:uid="{491DEA25-696B-475D-9336-A8C51E888390}" uniqueName="4" name="Contact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Product" displayName="dProduct" ref="L3:O7" totalsRowShown="0" headerRowDxfId="6">
  <autoFilter ref="L3:O7" xr:uid="{00000000-0009-0000-0100-000001000000}"/>
  <tableColumns count="4">
    <tableColumn id="1" xr3:uid="{00000000-0010-0000-0000-000001000000}" name="Product"/>
    <tableColumn id="2" xr3:uid="{00000000-0010-0000-0000-000002000000}" name="Price"/>
    <tableColumn id="3" xr3:uid="{00000000-0010-0000-0000-000003000000}" name="Cost"/>
    <tableColumn id="4" xr3:uid="{00000000-0010-0000-0000-000004000000}" name="Manufactur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Customer" displayName="dCustomer" ref="F3:I6" totalsRowShown="0" headerRowDxfId="5">
  <autoFilter ref="F3:I6" xr:uid="{00000000-0009-0000-0100-000002000000}"/>
  <tableColumns count="4">
    <tableColumn id="1" xr3:uid="{00000000-0010-0000-0100-000001000000}" name="Customer Key"/>
    <tableColumn id="2" xr3:uid="{00000000-0010-0000-0100-000002000000}" name="Customer"/>
    <tableColumn id="3" xr3:uid="{00000000-0010-0000-0100-000003000000}" name="State"/>
    <tableColumn id="4" xr3:uid="{00000000-0010-0000-0100-000004000000}" name="Conta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Sales" displayName="fSales" ref="A3:D22" totalsRowShown="0" headerRowDxfId="4">
  <autoFilter ref="A3:D22" xr:uid="{79878652-3D4A-489C-8C70-EEA997B36EFB}">
    <filterColumn colId="2">
      <filters>
        <filter val="Aspen"/>
      </filters>
    </filterColumn>
  </autoFilter>
  <tableColumns count="4">
    <tableColumn id="1" xr3:uid="{00000000-0010-0000-0200-000001000000}" name="Date" dataDxfId="3"/>
    <tableColumn id="2" xr3:uid="{00000000-0010-0000-0200-000002000000}" name="Sales" dataDxfId="2"/>
    <tableColumn id="3" xr3:uid="{00000000-0010-0000-0200-000003000000}" name="Product" dataDxfId="1"/>
    <tableColumn id="4" xr3:uid="{00000000-0010-0000-0200-000004000000}" name="Customer 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F791-C74A-4311-B460-6D41E2400030}">
  <dimension ref="B3:E17"/>
  <sheetViews>
    <sheetView workbookViewId="0">
      <selection activeCell="C15" sqref="C15"/>
    </sheetView>
  </sheetViews>
  <sheetFormatPr defaultRowHeight="15" x14ac:dyDescent="0.25"/>
  <cols>
    <col min="2" max="2" width="15.7109375" bestFit="1" customWidth="1"/>
    <col min="3" max="3" width="11.85546875" bestFit="1" customWidth="1"/>
    <col min="4" max="4" width="7.85546875" bestFit="1" customWidth="1"/>
    <col min="5" max="5" width="10" bestFit="1" customWidth="1"/>
    <col min="7" max="7" width="10.140625" bestFit="1" customWidth="1"/>
    <col min="8" max="8" width="15.7109375" bestFit="1" customWidth="1"/>
    <col min="9" max="9" width="11.85546875" bestFit="1" customWidth="1"/>
    <col min="10" max="10" width="7.85546875" bestFit="1" customWidth="1"/>
    <col min="11" max="11" width="10" bestFit="1" customWidth="1"/>
    <col min="12" max="12" width="8" bestFit="1" customWidth="1"/>
    <col min="13" max="13" width="10.140625" bestFit="1" customWidth="1"/>
    <col min="14" max="14" width="15.7109375" bestFit="1" customWidth="1"/>
  </cols>
  <sheetData>
    <row r="3" spans="2:5" x14ac:dyDescent="0.25">
      <c r="B3" s="19" t="s">
        <v>1</v>
      </c>
      <c r="C3" t="s">
        <v>34</v>
      </c>
      <c r="D3" t="s">
        <v>35</v>
      </c>
    </row>
    <row r="4" spans="2:5" x14ac:dyDescent="0.25">
      <c r="B4" t="s">
        <v>21</v>
      </c>
      <c r="C4" s="20">
        <v>4463.3999999999996</v>
      </c>
      <c r="D4" s="20">
        <v>4463.3999999999996</v>
      </c>
    </row>
    <row r="5" spans="2:5" x14ac:dyDescent="0.25">
      <c r="B5" t="s">
        <v>24</v>
      </c>
      <c r="C5" s="20">
        <v>2988.6749999999997</v>
      </c>
      <c r="D5" s="20">
        <v>2988.6750000000002</v>
      </c>
    </row>
    <row r="6" spans="2:5" x14ac:dyDescent="0.25">
      <c r="B6" t="s">
        <v>19</v>
      </c>
      <c r="C6" s="20">
        <v>7032</v>
      </c>
      <c r="D6" s="20">
        <v>7032</v>
      </c>
    </row>
    <row r="7" spans="2:5" x14ac:dyDescent="0.25">
      <c r="B7" t="s">
        <v>23</v>
      </c>
      <c r="C7" s="20">
        <v>3655.2750000000001</v>
      </c>
      <c r="D7" s="20">
        <v>3655.2749999999996</v>
      </c>
    </row>
    <row r="8" spans="2:5" x14ac:dyDescent="0.25">
      <c r="B8" t="s">
        <v>33</v>
      </c>
      <c r="C8" s="20">
        <v>14436.900000000001</v>
      </c>
      <c r="D8" s="20">
        <v>14436.899999999996</v>
      </c>
    </row>
    <row r="14" spans="2:5" x14ac:dyDescent="0.25">
      <c r="B14" t="s">
        <v>2</v>
      </c>
      <c r="C14" t="s">
        <v>3</v>
      </c>
      <c r="D14" t="s">
        <v>4</v>
      </c>
      <c r="E14" t="s">
        <v>5</v>
      </c>
    </row>
    <row r="15" spans="2:5" x14ac:dyDescent="0.25">
      <c r="B15">
        <v>1</v>
      </c>
      <c r="C15" t="s">
        <v>7</v>
      </c>
      <c r="D15" t="s">
        <v>8</v>
      </c>
      <c r="E15" t="s">
        <v>9</v>
      </c>
    </row>
    <row r="16" spans="2:5" x14ac:dyDescent="0.25">
      <c r="B16">
        <v>2</v>
      </c>
      <c r="C16" t="s">
        <v>10</v>
      </c>
      <c r="D16" t="s">
        <v>6</v>
      </c>
      <c r="E16" t="s">
        <v>11</v>
      </c>
    </row>
    <row r="17" spans="2:5" x14ac:dyDescent="0.25">
      <c r="B17">
        <v>3</v>
      </c>
      <c r="C17" t="s">
        <v>12</v>
      </c>
      <c r="D17" t="s">
        <v>13</v>
      </c>
      <c r="E17" t="s">
        <v>14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9"/>
  <sheetViews>
    <sheetView tabSelected="1" zoomScale="101" zoomScaleNormal="101" workbookViewId="0">
      <selection activeCell="G31" sqref="G31"/>
    </sheetView>
  </sheetViews>
  <sheetFormatPr defaultRowHeight="15" x14ac:dyDescent="0.25"/>
  <cols>
    <col min="1" max="1" width="14.7109375" customWidth="1"/>
    <col min="2" max="2" width="10.140625" bestFit="1" customWidth="1"/>
    <col min="3" max="3" width="13.5703125" bestFit="1" customWidth="1"/>
    <col min="4" max="4" width="14" customWidth="1"/>
    <col min="6" max="6" width="18.42578125" customWidth="1"/>
    <col min="7" max="9" width="12.5703125" customWidth="1"/>
    <col min="10" max="10" width="11.140625" bestFit="1" customWidth="1"/>
    <col min="12" max="12" width="24" customWidth="1"/>
    <col min="13" max="13" width="18.42578125" bestFit="1" customWidth="1"/>
    <col min="14" max="14" width="8" bestFit="1" customWidth="1"/>
    <col min="15" max="15" width="15.5703125" bestFit="1" customWidth="1"/>
    <col min="25" max="25" width="9.7109375" bestFit="1" customWidth="1"/>
    <col min="26" max="26" width="9.28515625" bestFit="1" customWidth="1"/>
    <col min="28" max="28" width="9.28515625" bestFit="1" customWidth="1"/>
  </cols>
  <sheetData>
    <row r="1" spans="1:28" ht="26.25" x14ac:dyDescent="0.4">
      <c r="A1" s="18" t="s">
        <v>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Y1" s="1" t="s">
        <v>15</v>
      </c>
      <c r="Z1" s="1" t="s">
        <v>0</v>
      </c>
      <c r="AA1" s="1" t="s">
        <v>1</v>
      </c>
      <c r="AB1" s="1" t="s">
        <v>2</v>
      </c>
    </row>
    <row r="2" spans="1:28" x14ac:dyDescent="0.25">
      <c r="Y2" s="2">
        <f ca="1">RANDBETWEEN(TODAY(),EOMONTH(TODAY(),0))</f>
        <v>43395</v>
      </c>
      <c r="Z2" s="3">
        <f ca="1">VLOOKUP(AA2,$L$4:$M$7,2,0)*RANDBETWEEN(1,144)</f>
        <v>2724.75</v>
      </c>
      <c r="AA2" t="str">
        <f ca="1">INDEX($L$4:$L$7,RANDBETWEEN(1,ROWS(dProduct[Product])))</f>
        <v>Aspen</v>
      </c>
      <c r="AB2">
        <f ca="1">RANDBETWEEN(1,3)</f>
        <v>3</v>
      </c>
    </row>
    <row r="3" spans="1:28" x14ac:dyDescent="0.25">
      <c r="A3" s="1" t="s">
        <v>15</v>
      </c>
      <c r="B3" s="1" t="s">
        <v>0</v>
      </c>
      <c r="C3" s="1" t="s">
        <v>1</v>
      </c>
      <c r="D3" s="1" t="s">
        <v>2</v>
      </c>
      <c r="F3" s="1" t="s">
        <v>2</v>
      </c>
      <c r="G3" s="1" t="s">
        <v>3</v>
      </c>
      <c r="H3" s="1" t="s">
        <v>4</v>
      </c>
      <c r="I3" s="1" t="s">
        <v>5</v>
      </c>
      <c r="L3" s="1" t="s">
        <v>1</v>
      </c>
      <c r="M3" s="1" t="s">
        <v>16</v>
      </c>
      <c r="N3" s="1" t="s">
        <v>17</v>
      </c>
      <c r="O3" s="1" t="s">
        <v>18</v>
      </c>
    </row>
    <row r="4" spans="1:28" hidden="1" x14ac:dyDescent="0.25">
      <c r="A4" s="2">
        <v>42785</v>
      </c>
      <c r="B4" s="3">
        <v>2189.9</v>
      </c>
      <c r="C4" t="s">
        <v>24</v>
      </c>
      <c r="D4">
        <v>1</v>
      </c>
      <c r="F4">
        <v>1</v>
      </c>
      <c r="G4" t="s">
        <v>7</v>
      </c>
      <c r="H4" t="s">
        <v>8</v>
      </c>
      <c r="I4" t="s">
        <v>9</v>
      </c>
      <c r="L4" t="s">
        <v>19</v>
      </c>
      <c r="M4">
        <v>43.95</v>
      </c>
      <c r="N4">
        <v>22.145</v>
      </c>
      <c r="O4" t="s">
        <v>20</v>
      </c>
    </row>
    <row r="5" spans="1:28" hidden="1" x14ac:dyDescent="0.25">
      <c r="A5" s="2">
        <v>42778</v>
      </c>
      <c r="B5" s="3">
        <v>43.95</v>
      </c>
      <c r="C5" t="s">
        <v>19</v>
      </c>
      <c r="D5">
        <v>3</v>
      </c>
      <c r="F5">
        <v>2</v>
      </c>
      <c r="G5" t="s">
        <v>10</v>
      </c>
      <c r="H5" t="s">
        <v>6</v>
      </c>
      <c r="I5" t="s">
        <v>11</v>
      </c>
      <c r="L5" t="s">
        <v>21</v>
      </c>
      <c r="M5">
        <v>25.95</v>
      </c>
      <c r="N5">
        <v>11.75</v>
      </c>
      <c r="O5" t="s">
        <v>22</v>
      </c>
    </row>
    <row r="6" spans="1:28" hidden="1" x14ac:dyDescent="0.25">
      <c r="A6" s="2">
        <v>42792</v>
      </c>
      <c r="B6" s="3">
        <v>2046.3</v>
      </c>
      <c r="C6" t="s">
        <v>24</v>
      </c>
      <c r="D6">
        <v>3</v>
      </c>
      <c r="F6">
        <v>3</v>
      </c>
      <c r="G6" t="s">
        <v>12</v>
      </c>
      <c r="H6" t="s">
        <v>13</v>
      </c>
      <c r="I6" t="s">
        <v>14</v>
      </c>
      <c r="L6" t="s">
        <v>23</v>
      </c>
      <c r="M6">
        <v>26.95</v>
      </c>
      <c r="N6">
        <v>12.35</v>
      </c>
      <c r="O6" t="s">
        <v>20</v>
      </c>
    </row>
    <row r="7" spans="1:28" x14ac:dyDescent="0.25">
      <c r="A7" s="2">
        <v>42785</v>
      </c>
      <c r="B7" s="3">
        <v>3295.65</v>
      </c>
      <c r="C7" t="s">
        <v>21</v>
      </c>
      <c r="D7">
        <v>2</v>
      </c>
      <c r="L7" t="s">
        <v>24</v>
      </c>
      <c r="M7">
        <v>17.95</v>
      </c>
      <c r="N7">
        <v>7.95</v>
      </c>
      <c r="O7" t="s">
        <v>25</v>
      </c>
    </row>
    <row r="8" spans="1:28" hidden="1" x14ac:dyDescent="0.25">
      <c r="A8" s="2">
        <v>42785</v>
      </c>
      <c r="B8" s="9">
        <v>1889.85</v>
      </c>
      <c r="C8" s="10" t="s">
        <v>19</v>
      </c>
      <c r="D8" s="10">
        <v>1</v>
      </c>
    </row>
    <row r="9" spans="1:28" hidden="1" x14ac:dyDescent="0.25">
      <c r="A9" s="2">
        <v>42790</v>
      </c>
      <c r="B9" s="9">
        <v>1238.55</v>
      </c>
      <c r="C9" s="10" t="s">
        <v>24</v>
      </c>
      <c r="D9" s="10">
        <v>1</v>
      </c>
      <c r="F9" s="1" t="s">
        <v>28</v>
      </c>
      <c r="G9" s="1"/>
      <c r="H9" s="1"/>
      <c r="I9" s="1"/>
    </row>
    <row r="10" spans="1:28" ht="30" hidden="1" x14ac:dyDescent="0.25">
      <c r="A10" s="2">
        <v>42793</v>
      </c>
      <c r="B10" s="9">
        <v>2452.4499999999998</v>
      </c>
      <c r="C10" s="10" t="s">
        <v>23</v>
      </c>
      <c r="D10" s="10">
        <v>2</v>
      </c>
      <c r="F10" s="4" t="s">
        <v>26</v>
      </c>
      <c r="G10" s="6">
        <v>1</v>
      </c>
      <c r="H10" s="5">
        <v>2</v>
      </c>
      <c r="I10" s="11">
        <v>3</v>
      </c>
      <c r="J10" s="13" t="s">
        <v>31</v>
      </c>
      <c r="L10" s="15" t="s">
        <v>27</v>
      </c>
      <c r="M10" s="4" t="s">
        <v>30</v>
      </c>
    </row>
    <row r="11" spans="1:28" x14ac:dyDescent="0.25">
      <c r="A11" s="2">
        <v>42782</v>
      </c>
      <c r="B11" s="9">
        <v>3425.4</v>
      </c>
      <c r="C11" s="10" t="s">
        <v>21</v>
      </c>
      <c r="D11" s="10">
        <v>1</v>
      </c>
      <c r="F11" s="6" t="s">
        <v>21</v>
      </c>
      <c r="G11" s="8">
        <f>SUMIFS(fSales[[Sales]:[Sales]],fSales[[Product]:[Product]],$F11,fSales[[Customer Key]:[Customer Key]],G$10)</f>
        <v>5631.15</v>
      </c>
      <c r="H11" s="8">
        <f>SUMIFS(fSales[[Sales]:[Sales]],fSales[[Product]:[Product]],$F11,fSales[[Customer Key]:[Customer Key]],H$10)</f>
        <v>3295.65</v>
      </c>
      <c r="I11" s="8">
        <f>SUMIFS(fSales[[Sales]:[Sales]],fSales[[Product]:[Product]],$F11,fSales[[Customer Key]:[Customer Key]],I$10)</f>
        <v>0</v>
      </c>
      <c r="J11" s="14">
        <f>SUM(G11:I11)</f>
        <v>8926.7999999999993</v>
      </c>
      <c r="L11" s="8">
        <f>AVERAGEIF(G11:I11,"&gt;0")</f>
        <v>4463.3999999999996</v>
      </c>
      <c r="M11" s="8">
        <f>AVERAGE(G11:I11)</f>
        <v>2975.6</v>
      </c>
      <c r="N11" s="3"/>
    </row>
    <row r="12" spans="1:28" hidden="1" x14ac:dyDescent="0.25">
      <c r="A12" s="2">
        <v>42786</v>
      </c>
      <c r="B12" s="9">
        <v>5054.25</v>
      </c>
      <c r="C12" s="10" t="s">
        <v>19</v>
      </c>
      <c r="D12" s="10">
        <v>3</v>
      </c>
      <c r="F12" s="5" t="s">
        <v>24</v>
      </c>
      <c r="G12" s="8">
        <f>SUMIFS(fSales[[Sales]:[Sales]],fSales[[Product]:[Product]],$F12,fSales[[Customer Key]:[Customer Key]],G$10)</f>
        <v>3931.0499999999997</v>
      </c>
      <c r="H12" s="8">
        <f>SUMIFS(fSales[[Sales]:[Sales]],fSales[[Product]:[Product]],$F12,fSales[[Customer Key]:[Customer Key]],H$10)</f>
        <v>0</v>
      </c>
      <c r="I12" s="8">
        <f>SUMIFS(fSales[[Sales]:[Sales]],fSales[[Product]:[Product]],$F12,fSales[[Customer Key]:[Customer Key]],I$10)</f>
        <v>2046.3</v>
      </c>
      <c r="J12" s="14">
        <f>SUM(G12:I12)</f>
        <v>5977.3499999999995</v>
      </c>
      <c r="L12" s="8">
        <f t="shared" ref="L12:L15" si="0">AVERAGEIF(G12:I12,"&gt;0")</f>
        <v>2988.6749999999997</v>
      </c>
      <c r="M12" s="8">
        <f t="shared" ref="M12:M15" si="1">AVERAGE(G12:I12)</f>
        <v>1992.4499999999998</v>
      </c>
    </row>
    <row r="13" spans="1:28" hidden="1" x14ac:dyDescent="0.25">
      <c r="A13" s="2">
        <v>42780</v>
      </c>
      <c r="B13" s="9">
        <v>539</v>
      </c>
      <c r="C13" s="10" t="s">
        <v>23</v>
      </c>
      <c r="D13" s="10">
        <v>3</v>
      </c>
      <c r="F13" s="5" t="s">
        <v>19</v>
      </c>
      <c r="G13" s="8">
        <f>SUMIFS(fSales[[Sales]:[Sales]],fSales[[Product]:[Product]],$F13,fSales[[Customer Key]:[Customer Key]],G$10)</f>
        <v>3911.55</v>
      </c>
      <c r="H13" s="8">
        <f>SUMIFS(fSales[[Sales]:[Sales]],fSales[[Product]:[Product]],$F13,fSales[[Customer Key]:[Customer Key]],H$10)</f>
        <v>8658.1500000000015</v>
      </c>
      <c r="I13" s="8">
        <f>SUMIFS(fSales[[Sales]:[Sales]],fSales[[Product]:[Product]],$F13,fSales[[Customer Key]:[Customer Key]],I$10)</f>
        <v>8526.2999999999993</v>
      </c>
      <c r="J13" s="14">
        <f>SUM(G13:I13)</f>
        <v>21096</v>
      </c>
      <c r="L13" s="8">
        <f t="shared" si="0"/>
        <v>7032</v>
      </c>
      <c r="M13" s="8">
        <f t="shared" si="1"/>
        <v>7032</v>
      </c>
      <c r="O13" s="3"/>
    </row>
    <row r="14" spans="1:28" x14ac:dyDescent="0.25">
      <c r="A14" s="2">
        <v>42776</v>
      </c>
      <c r="B14" s="9">
        <v>2205.75</v>
      </c>
      <c r="C14" s="10" t="s">
        <v>21</v>
      </c>
      <c r="D14" s="10">
        <v>1</v>
      </c>
      <c r="F14" s="12" t="s">
        <v>23</v>
      </c>
      <c r="G14" s="8">
        <f>SUMIFS(fSales[[Sales]:[Sales]],fSales[[Product]:[Product]],$F14,fSales[[Customer Key]:[Customer Key]],G$10)</f>
        <v>0</v>
      </c>
      <c r="H14" s="8">
        <f>SUMIFS(fSales[[Sales]:[Sales]],fSales[[Product]:[Product]],$F14,fSales[[Customer Key]:[Customer Key]],H$10)</f>
        <v>5397.1</v>
      </c>
      <c r="I14" s="8">
        <f>SUMIFS(fSales[[Sales]:[Sales]],fSales[[Product]:[Product]],$F14,fSales[[Customer Key]:[Customer Key]],I$10)</f>
        <v>1913.45</v>
      </c>
      <c r="J14" s="14">
        <f>SUM(G14:I14)</f>
        <v>7310.55</v>
      </c>
      <c r="L14" s="8">
        <f t="shared" si="0"/>
        <v>3655.2750000000001</v>
      </c>
      <c r="M14" s="8">
        <f t="shared" si="1"/>
        <v>2436.85</v>
      </c>
    </row>
    <row r="15" spans="1:28" hidden="1" x14ac:dyDescent="0.25">
      <c r="A15" s="2">
        <v>42791</v>
      </c>
      <c r="B15" s="9">
        <v>3076.5</v>
      </c>
      <c r="C15" s="10" t="s">
        <v>19</v>
      </c>
      <c r="D15" s="10">
        <v>3</v>
      </c>
      <c r="F15" s="13" t="s">
        <v>31</v>
      </c>
      <c r="G15" s="14">
        <f>SUM(G11:G14)</f>
        <v>13473.75</v>
      </c>
      <c r="H15" s="14">
        <f>SUM(H11:H14)</f>
        <v>17350.900000000001</v>
      </c>
      <c r="I15" s="14">
        <f>SUM(I11:I14)</f>
        <v>12486.05</v>
      </c>
      <c r="J15" s="14">
        <f>SUM(G15:I15)</f>
        <v>43310.7</v>
      </c>
      <c r="L15" s="8">
        <f>SUM(L11:L14)</f>
        <v>18139.349999999999</v>
      </c>
      <c r="M15" s="8">
        <f t="shared" si="1"/>
        <v>14436.9</v>
      </c>
    </row>
    <row r="16" spans="1:28" hidden="1" x14ac:dyDescent="0.25">
      <c r="A16" s="2">
        <v>42784</v>
      </c>
      <c r="B16" s="9">
        <v>5317.9500000000007</v>
      </c>
      <c r="C16" s="10" t="s">
        <v>19</v>
      </c>
      <c r="D16" s="10">
        <v>2</v>
      </c>
      <c r="L16" t="str">
        <f ca="1">_xlfn.FORMULATEXT(L11)</f>
        <v>=AVERAGEIF(G11:I11,"&gt;0")</v>
      </c>
      <c r="M16" t="str">
        <f ca="1">_xlfn.FORMULATEXT(M11)</f>
        <v>=AVERAGE(G11:I11)</v>
      </c>
    </row>
    <row r="17" spans="1:9" hidden="1" x14ac:dyDescent="0.25">
      <c r="A17" s="2">
        <v>42787</v>
      </c>
      <c r="B17" s="9">
        <v>502.59999999999997</v>
      </c>
      <c r="C17" s="10" t="s">
        <v>24</v>
      </c>
      <c r="D17" s="10">
        <v>1</v>
      </c>
      <c r="F17" s="4" t="s">
        <v>26</v>
      </c>
      <c r="G17" s="16" t="s">
        <v>27</v>
      </c>
    </row>
    <row r="18" spans="1:9" hidden="1" x14ac:dyDescent="0.25">
      <c r="A18" s="2">
        <v>42776</v>
      </c>
      <c r="B18" s="9">
        <v>2021.7</v>
      </c>
      <c r="C18" s="10" t="s">
        <v>19</v>
      </c>
      <c r="D18" s="10">
        <v>1</v>
      </c>
      <c r="F18" s="6" t="s">
        <v>21</v>
      </c>
      <c r="G18" s="8">
        <f t="array" ref="G18">AVERAGE(IF(SUMIFS(fSales[Sales],fSales[Product],F18,fSales[Customer Key],dCustomer[Customer Key])&gt;0,SUMIFS(fSales[Sales],fSales[Product],F18,fSales[Customer Key],dCustomer[Customer Key])))</f>
        <v>4463.3999999999996</v>
      </c>
      <c r="H18" s="8">
        <f t="array" ref="H18">SUMIFS(fSales[Sales],fSales[Product],F18)/SUM(IF(FREQUENCY(IF(fSales[Product]=F18,fSales[Customer Key]),dCustomer[Customer Key]),1))</f>
        <v>4463.3999999999996</v>
      </c>
      <c r="I18" s="8">
        <f t="array" ref="I18">SUMIFS(fSales[Sales],fSales[Product],F18)/SUM(IF(COUNTIFS(fSales[Product],F18,fSales[Customer Key],dCustomer[Customer Key]),1))</f>
        <v>4463.3999999999996</v>
      </c>
    </row>
    <row r="19" spans="1:9" hidden="1" x14ac:dyDescent="0.25">
      <c r="A19" s="2">
        <v>42793</v>
      </c>
      <c r="B19" s="9">
        <v>351.6</v>
      </c>
      <c r="C19" s="10" t="s">
        <v>19</v>
      </c>
      <c r="D19" s="10">
        <v>3</v>
      </c>
      <c r="F19" s="5" t="s">
        <v>24</v>
      </c>
      <c r="G19" s="8">
        <f t="array" ref="G19">AVERAGE(IF(SUMIFS(fSales[Sales],fSales[Product],F19,fSales[Customer Key],dCustomer[Customer Key])&gt;0,SUMIFS(fSales[Sales],fSales[Product],F19,fSales[Customer Key],dCustomer[Customer Key])))</f>
        <v>2988.6749999999997</v>
      </c>
      <c r="H19" s="8">
        <f t="array" ref="H19">SUMIFS(fSales[Sales],fSales[Product],F19)/SUM(IF(FREQUENCY(IF(fSales[Product]=F19,fSales[Customer Key]),dCustomer[Customer Key]),1))</f>
        <v>2988.6750000000002</v>
      </c>
      <c r="I19" s="8">
        <f t="array" ref="I19">SUMIFS(fSales[Sales],fSales[Product],F19)/SUM(IF(COUNTIFS(fSales[Product],F19,fSales[Customer Key],dCustomer[Customer Key]),1))</f>
        <v>2988.6750000000002</v>
      </c>
    </row>
    <row r="20" spans="1:9" hidden="1" x14ac:dyDescent="0.25">
      <c r="A20" s="2">
        <v>42781</v>
      </c>
      <c r="B20" s="3">
        <v>1374.45</v>
      </c>
      <c r="C20" t="s">
        <v>23</v>
      </c>
      <c r="D20">
        <v>3</v>
      </c>
      <c r="F20" s="5" t="s">
        <v>19</v>
      </c>
      <c r="G20" s="8">
        <f t="array" ref="G20">AVERAGE(IF(SUMIFS(fSales[Sales],fSales[Product],F20,fSales[Customer Key],dCustomer[Customer Key])&gt;0,SUMIFS(fSales[Sales],fSales[Product],F20,fSales[Customer Key],dCustomer[Customer Key])))</f>
        <v>7032</v>
      </c>
      <c r="H20" s="8">
        <f t="array" ref="H20">SUMIFS(fSales[Sales],fSales[Product],F20)/SUM(IF(FREQUENCY(IF(fSales[Product]=F20,fSales[Customer Key]),dCustomer[Customer Key]),1))</f>
        <v>7032</v>
      </c>
      <c r="I20" s="8">
        <f t="array" ref="I20">SUMIFS(fSales[Sales],fSales[Product],F20)/SUM(IF(COUNTIFS(fSales[Product],F20,fSales[Customer Key],dCustomer[Customer Key]),1))</f>
        <v>7032</v>
      </c>
    </row>
    <row r="21" spans="1:9" hidden="1" x14ac:dyDescent="0.25">
      <c r="A21" s="2">
        <v>42794</v>
      </c>
      <c r="B21" s="3">
        <v>2944.65</v>
      </c>
      <c r="C21" t="s">
        <v>23</v>
      </c>
      <c r="D21">
        <v>2</v>
      </c>
      <c r="F21" s="12" t="s">
        <v>23</v>
      </c>
      <c r="G21" s="8">
        <f t="array" ref="G21">AVERAGE(IF(SUMIFS(fSales[Sales],fSales[Product],F21,fSales[Customer Key],dCustomer[Customer Key])&gt;0,SUMIFS(fSales[Sales],fSales[Product],F21,fSales[Customer Key],dCustomer[Customer Key])))</f>
        <v>3655.2750000000001</v>
      </c>
      <c r="H21" s="8">
        <f t="array" ref="H21">SUMIFS(fSales[Sales],fSales[Product],F21)/SUM(IF(FREQUENCY(IF(fSales[Product]=F21,fSales[Customer Key]),dCustomer[Customer Key]),1))</f>
        <v>3655.2749999999996</v>
      </c>
      <c r="I21" s="8">
        <f t="array" ref="I21">SUMIFS(fSales[Sales],fSales[Product],F21)/SUM(IF(COUNTIFS(fSales[Product],F21,fSales[Customer Key],dCustomer[Customer Key]),1))</f>
        <v>3655.2749999999996</v>
      </c>
    </row>
    <row r="22" spans="1:9" hidden="1" x14ac:dyDescent="0.25">
      <c r="A22" s="2">
        <v>42777</v>
      </c>
      <c r="B22" s="3">
        <v>3340.2000000000003</v>
      </c>
      <c r="C22" t="s">
        <v>19</v>
      </c>
      <c r="D22">
        <v>2</v>
      </c>
    </row>
    <row r="24" spans="1:9" x14ac:dyDescent="0.25">
      <c r="F24" s="1" t="s">
        <v>29</v>
      </c>
    </row>
    <row r="25" spans="1:9" x14ac:dyDescent="0.25">
      <c r="F25" s="4" t="s">
        <v>26</v>
      </c>
      <c r="G25" s="5">
        <v>1</v>
      </c>
      <c r="H25" s="5">
        <v>2</v>
      </c>
      <c r="I25" s="5">
        <v>3</v>
      </c>
    </row>
    <row r="26" spans="1:9" x14ac:dyDescent="0.25">
      <c r="F26" s="5" t="s">
        <v>21</v>
      </c>
      <c r="G26" s="7">
        <f>COUNTIFS(fSales[[Product]:[Product]],$F11,fSales[[Customer Key]:[Customer Key]],G$10)</f>
        <v>2</v>
      </c>
      <c r="H26" s="7">
        <f>COUNTIFS(fSales[[Product]:[Product]],$F11,fSales[[Customer Key]:[Customer Key]],H$10)</f>
        <v>1</v>
      </c>
      <c r="I26" s="7">
        <f>COUNTIFS(fSales[[Product]:[Product]],$F11,fSales[[Customer Key]:[Customer Key]],I$10)</f>
        <v>0</v>
      </c>
    </row>
    <row r="27" spans="1:9" x14ac:dyDescent="0.25">
      <c r="F27" s="5" t="s">
        <v>24</v>
      </c>
      <c r="G27" s="7">
        <f>COUNTIFS(fSales[[Product]:[Product]],$F12,fSales[[Customer Key]:[Customer Key]],G$10)</f>
        <v>3</v>
      </c>
      <c r="H27" s="7">
        <f>COUNTIFS(fSales[[Product]:[Product]],$F12,fSales[[Customer Key]:[Customer Key]],H$10)</f>
        <v>0</v>
      </c>
      <c r="I27" s="7">
        <f>COUNTIFS(fSales[[Product]:[Product]],$F12,fSales[[Customer Key]:[Customer Key]],I$10)</f>
        <v>1</v>
      </c>
    </row>
    <row r="28" spans="1:9" x14ac:dyDescent="0.25">
      <c r="F28" s="5" t="s">
        <v>19</v>
      </c>
      <c r="G28" s="7">
        <f>COUNTIFS(fSales[[Product]:[Product]],$F13,fSales[[Customer Key]:[Customer Key]],G$10)</f>
        <v>2</v>
      </c>
      <c r="H28" s="7">
        <f>COUNTIFS(fSales[[Product]:[Product]],$F13,fSales[[Customer Key]:[Customer Key]],H$10)</f>
        <v>2</v>
      </c>
      <c r="I28" s="7">
        <f>COUNTIFS(fSales[[Product]:[Product]],$F13,fSales[[Customer Key]:[Customer Key]],I$10)</f>
        <v>4</v>
      </c>
    </row>
    <row r="29" spans="1:9" x14ac:dyDescent="0.25">
      <c r="F29" s="5" t="s">
        <v>23</v>
      </c>
      <c r="G29" s="7">
        <f>COUNTIFS(fSales[[Product]:[Product]],$F14,fSales[[Customer Key]:[Customer Key]],G$10)</f>
        <v>0</v>
      </c>
      <c r="H29" s="7">
        <f>COUNTIFS(fSales[[Product]:[Product]],$F14,fSales[[Customer Key]:[Customer Key]],H$10)</f>
        <v>2</v>
      </c>
      <c r="I29" s="7">
        <f>COUNTIFS(fSales[[Product]:[Product]],$F14,fSales[[Customer Key]:[Customer Key]],I$10)</f>
        <v>2</v>
      </c>
    </row>
  </sheetData>
  <conditionalFormatting sqref="A4:D22">
    <cfRule type="expression" dxfId="0" priority="2">
      <formula>AND($C4=$F$11,$D4=$G$10)</formula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9B3DE71F-431C-4C90-986E-B954DA52CFE2}">
  <ds:schemaRefs/>
</ds:datastoreItem>
</file>

<file path=customXml/itemProps2.xml><?xml version="1.0" encoding="utf-8"?>
<ds:datastoreItem xmlns:ds="http://schemas.openxmlformats.org/officeDocument/2006/customXml" ds:itemID="{4F53053D-D397-43FE-B3AE-208152FD61A9}">
  <ds:schemaRefs/>
</ds:datastoreItem>
</file>

<file path=customXml/itemProps3.xml><?xml version="1.0" encoding="utf-8"?>
<ds:datastoreItem xmlns:ds="http://schemas.openxmlformats.org/officeDocument/2006/customXml" ds:itemID="{69C46605-04B8-4DBF-A494-7178AE8BB183}">
  <ds:schemaRefs/>
</ds:datastoreItem>
</file>

<file path=customXml/itemProps4.xml><?xml version="1.0" encoding="utf-8"?>
<ds:datastoreItem xmlns:ds="http://schemas.openxmlformats.org/officeDocument/2006/customXml" ds:itemID="{7FDF2033-3EB9-41AA-87D9-A62A8A2CF52B}">
  <ds:schemaRefs/>
</ds:datastoreItem>
</file>

<file path=customXml/itemProps5.xml><?xml version="1.0" encoding="utf-8"?>
<ds:datastoreItem xmlns:ds="http://schemas.openxmlformats.org/officeDocument/2006/customXml" ds:itemID="{60A70C58-D565-4F64-8D6C-92964F5E1D1E}">
  <ds:schemaRefs/>
</ds:datastoreItem>
</file>

<file path=customXml/itemProps6.xml><?xml version="1.0" encoding="utf-8"?>
<ds:datastoreItem xmlns:ds="http://schemas.openxmlformats.org/officeDocument/2006/customXml" ds:itemID="{E326E76A-E518-4602-8D4D-870D6BDC2883}">
  <ds:schemaRefs/>
</ds:datastoreItem>
</file>

<file path=customXml/itemProps7.xml><?xml version="1.0" encoding="utf-8"?>
<ds:datastoreItem xmlns:ds="http://schemas.openxmlformats.org/officeDocument/2006/customXml" ds:itemID="{D8CEDAF5-EC7E-4868-977B-D48B074FE762}">
  <ds:schemaRefs/>
</ds:datastoreItem>
</file>

<file path=customXml/itemProps8.xml><?xml version="1.0" encoding="utf-8"?>
<ds:datastoreItem xmlns:ds="http://schemas.openxmlformats.org/officeDocument/2006/customXml" ds:itemID="{A0107D35-6289-46A3-87C9-C9145C06F44E}">
  <ds:schemaRefs/>
</ds:datastoreItem>
</file>

<file path=customXml/itemProps9.xml><?xml version="1.0" encoding="utf-8"?>
<ds:datastoreItem xmlns:ds="http://schemas.openxmlformats.org/officeDocument/2006/customXml" ds:itemID="{08C7D3AD-5E78-477B-A83E-DB01CB0B9F60}">
  <ds:schemaRefs/>
</ds:datastoreItem>
</file>

<file path=customXml/itemProps10.xml><?xml version="1.0" encoding="utf-8"?>
<ds:datastoreItem xmlns:ds="http://schemas.openxmlformats.org/officeDocument/2006/customXml" ds:itemID="{ECB2DB5B-0E27-43B8-98DF-5A790324A810}">
  <ds:schemaRefs/>
</ds:datastoreItem>
</file>

<file path=customXml/itemProps11.xml><?xml version="1.0" encoding="utf-8"?>
<ds:datastoreItem xmlns:ds="http://schemas.openxmlformats.org/officeDocument/2006/customXml" ds:itemID="{76D17FF3-0763-4154-8413-4AD2FA770CF6}">
  <ds:schemaRefs/>
</ds:datastoreItem>
</file>

<file path=customXml/itemProps12.xml><?xml version="1.0" encoding="utf-8"?>
<ds:datastoreItem xmlns:ds="http://schemas.openxmlformats.org/officeDocument/2006/customXml" ds:itemID="{1F125B5D-9823-48FF-8231-B079D1E2DCC3}">
  <ds:schemaRefs/>
</ds:datastoreItem>
</file>

<file path=customXml/itemProps13.xml><?xml version="1.0" encoding="utf-8"?>
<ds:datastoreItem xmlns:ds="http://schemas.openxmlformats.org/officeDocument/2006/customXml" ds:itemID="{32B4CBEB-191C-432A-86EE-FC24507AE01D}">
  <ds:schemaRefs/>
</ds:datastoreItem>
</file>

<file path=customXml/itemProps14.xml><?xml version="1.0" encoding="utf-8"?>
<ds:datastoreItem xmlns:ds="http://schemas.openxmlformats.org/officeDocument/2006/customXml" ds:itemID="{82820842-6AA3-4A74-AD69-8DB0A245AFAD}">
  <ds:schemaRefs/>
</ds:datastoreItem>
</file>

<file path=customXml/itemProps15.xml><?xml version="1.0" encoding="utf-8"?>
<ds:datastoreItem xmlns:ds="http://schemas.openxmlformats.org/officeDocument/2006/customXml" ds:itemID="{9D7240FC-2B57-4AA7-906B-C8A057CE801C}">
  <ds:schemaRefs/>
</ds:datastoreItem>
</file>

<file path=customXml/itemProps16.xml><?xml version="1.0" encoding="utf-8"?>
<ds:datastoreItem xmlns:ds="http://schemas.openxmlformats.org/officeDocument/2006/customXml" ds:itemID="{17D194F5-256A-4684-B2D3-1C322D28D765}">
  <ds:schemaRefs/>
</ds:datastoreItem>
</file>

<file path=customXml/itemProps17.xml><?xml version="1.0" encoding="utf-8"?>
<ds:datastoreItem xmlns:ds="http://schemas.openxmlformats.org/officeDocument/2006/customXml" ds:itemID="{2AC29E85-D452-4648-A556-D33D47C7D456}">
  <ds:schemaRefs/>
</ds:datastoreItem>
</file>

<file path=customXml/itemProps18.xml><?xml version="1.0" encoding="utf-8"?>
<ds:datastoreItem xmlns:ds="http://schemas.openxmlformats.org/officeDocument/2006/customXml" ds:itemID="{767D7CC4-F6D8-4897-A30A-D64C61222858}">
  <ds:schemaRefs/>
</ds:datastoreItem>
</file>

<file path=customXml/itemProps19.xml><?xml version="1.0" encoding="utf-8"?>
<ds:datastoreItem xmlns:ds="http://schemas.openxmlformats.org/officeDocument/2006/customXml" ds:itemID="{38B0876C-2C2B-48B5-9AE8-06442ED7F7E3}">
  <ds:schemaRefs/>
</ds:datastoreItem>
</file>

<file path=customXml/itemProps20.xml><?xml version="1.0" encoding="utf-8"?>
<ds:datastoreItem xmlns:ds="http://schemas.openxmlformats.org/officeDocument/2006/customXml" ds:itemID="{4353B9FA-E10C-4D7E-B486-C7BD90974F03}">
  <ds:schemaRefs/>
</ds:datastoreItem>
</file>

<file path=customXml/itemProps21.xml><?xml version="1.0" encoding="utf-8"?>
<ds:datastoreItem xmlns:ds="http://schemas.openxmlformats.org/officeDocument/2006/customXml" ds:itemID="{5E69C82B-84D2-447C-94E7-C57CCBF69250}">
  <ds:schemaRefs/>
</ds:datastoreItem>
</file>

<file path=customXml/itemProps22.xml><?xml version="1.0" encoding="utf-8"?>
<ds:datastoreItem xmlns:ds="http://schemas.openxmlformats.org/officeDocument/2006/customXml" ds:itemID="{DCD44ADB-5BED-408B-8A5F-71D715DBEB4B}">
  <ds:schemaRefs/>
</ds:datastoreItem>
</file>

<file path=customXml/itemProps23.xml><?xml version="1.0" encoding="utf-8"?>
<ds:datastoreItem xmlns:ds="http://schemas.openxmlformats.org/officeDocument/2006/customXml" ds:itemID="{4DDEFD21-6EE5-422E-9841-C9B24E2C27EB}">
  <ds:schemaRefs/>
</ds:datastoreItem>
</file>

<file path=customXml/itemProps24.xml><?xml version="1.0" encoding="utf-8"?>
<ds:datastoreItem xmlns:ds="http://schemas.openxmlformats.org/officeDocument/2006/customXml" ds:itemID="{7B8A5699-6465-420D-8CE0-83C4FD47639D}">
  <ds:schemaRefs/>
</ds:datastoreItem>
</file>

<file path=customXml/itemProps25.xml><?xml version="1.0" encoding="utf-8"?>
<ds:datastoreItem xmlns:ds="http://schemas.openxmlformats.org/officeDocument/2006/customXml" ds:itemID="{EB004EAC-DE32-4D72-A5B1-0B4CF50C2003}">
  <ds:schemaRefs/>
</ds:datastoreItem>
</file>

<file path=customXml/itemProps26.xml><?xml version="1.0" encoding="utf-8"?>
<ds:datastoreItem xmlns:ds="http://schemas.openxmlformats.org/officeDocument/2006/customXml" ds:itemID="{7745EE33-E8FD-4679-806F-7E6D4DFA82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Ngoc Dinh</cp:lastModifiedBy>
  <dcterms:created xsi:type="dcterms:W3CDTF">2017-02-10T17:23:36Z</dcterms:created>
  <dcterms:modified xsi:type="dcterms:W3CDTF">2018-10-11T06:55:47Z</dcterms:modified>
</cp:coreProperties>
</file>