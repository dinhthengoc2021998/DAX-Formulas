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tiff" ContentType="image/tif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dinht\OneDrive\Desktop\Practice\Excel practice\DAX for PowerPivot, PBI\"/>
    </mc:Choice>
  </mc:AlternateContent>
  <xr:revisionPtr revIDLastSave="1" documentId="11_728CE6757AFB763AF58645A84806919EC6C0B7DA" xr6:coauthVersionLast="37" xr6:coauthVersionMax="37" xr10:uidLastSave="{D6EFB9C1-B2B8-4F60-9510-116D0FBAFC34}"/>
  <bookViews>
    <workbookView xWindow="0" yWindow="0" windowWidth="28800" windowHeight="12210" xr2:uid="{00000000-000D-0000-FFFF-FFFF00000000}"/>
  </bookViews>
  <sheets>
    <sheet name="PV Report" sheetId="5" r:id="rId1"/>
    <sheet name="Statistics" sheetId="4" r:id="rId2"/>
  </sheets>
  <definedNames>
    <definedName name="_xlcn.LinkedTable_fConfidenceInterval1" hidden="1">fConfidenceInterval[]</definedName>
    <definedName name="_xlcn.LinkedTable_fPageSampleResults1" hidden="1">fPageSampleResults[]</definedName>
  </definedNames>
  <calcPr calcId="179021"/>
  <pivotCaches>
    <pivotCache cacheId="104" r:id="rId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fPageSampleResults" name="fPageSampleResults" connection="LinkedTable_fPageSampleResults"/>
          <x15:modelTable id="fConfidenceInterval" name="fConfidenceInterval" connection="LinkedTable_fConfidenceInterval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13" i="4" l="1"/>
  <c r="I16" i="4"/>
  <c r="I23" i="4"/>
  <c r="I14" i="4"/>
  <c r="I19" i="4"/>
  <c r="I15" i="4"/>
  <c r="I12" i="4"/>
  <c r="I21" i="4"/>
  <c r="I22" i="4"/>
  <c r="I18" i="4"/>
  <c r="I10" i="4"/>
  <c r="I20" i="4"/>
  <c r="I17" i="4"/>
  <c r="I11" i="4"/>
  <c r="I39" i="4" l="1"/>
  <c r="I38" i="4"/>
  <c r="I37" i="4"/>
  <c r="F12" i="4"/>
  <c r="F14" i="4" s="1"/>
  <c r="F44" i="4"/>
  <c r="F43" i="4"/>
  <c r="F17" i="4"/>
  <c r="F11" i="4"/>
  <c r="F10" i="4"/>
  <c r="I40" i="4" l="1"/>
  <c r="F15" i="4"/>
  <c r="F21" i="4"/>
  <c r="F23" i="4" s="1"/>
  <c r="F18" i="4"/>
  <c r="F19" i="4" s="1"/>
  <c r="F20" i="4" l="1"/>
  <c r="F22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MIDSIMG</author>
  </authors>
  <commentList>
    <comment ref="I7" authorId="0" shapeId="0" xr:uid="{00000000-0006-0000-0000-000001000000}">
      <text/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LinkedTable_fConfidenceInterval" type="102" refreshedVersion="6" minRefreshableVersion="5">
    <extLst>
      <ext xmlns:x15="http://schemas.microsoft.com/office/spreadsheetml/2010/11/main" uri="{DE250136-89BD-433C-8126-D09CA5730AF9}">
        <x15:connection id="fConfidenceInterval">
          <x15:rangePr sourceName="_xlcn.LinkedTable_fConfidenceInterval1"/>
        </x15:connection>
      </ext>
    </extLst>
  </connection>
  <connection id="2" xr16:uid="{00000000-0015-0000-FFFF-FFFF01000000}" name="LinkedTable_fPageSampleResults" type="102" refreshedVersion="6" minRefreshableVersion="5">
    <extLst>
      <ext xmlns:x15="http://schemas.microsoft.com/office/spreadsheetml/2010/11/main" uri="{DE250136-89BD-433C-8126-D09CA5730AF9}">
        <x15:connection id="fPageSampleResults">
          <x15:rangePr sourceName="_xlcn.LinkedTable_fPageSampleResults1"/>
        </x15:connection>
      </ext>
    </extLst>
  </connection>
  <connection id="3" xr16:uid="{00000000-0015-0000-FFFF-FFFF02000000}" keepAlive="1" name="ThisWorkbookDataModel" description="Data Model" type="5" refreshedVersion="6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<sst xmlns="http://schemas.openxmlformats.org/spreadsheetml/2006/main" count="113" uniqueCount="72">
  <si>
    <t>Reference Video:</t>
  </si>
  <si>
    <t>n</t>
  </si>
  <si>
    <t># of samples</t>
  </si>
  <si>
    <t>df</t>
  </si>
  <si>
    <t>t</t>
  </si>
  <si>
    <t>Standard Error</t>
  </si>
  <si>
    <t>Margin of error</t>
  </si>
  <si>
    <r>
      <t>lower X</t>
    </r>
    <r>
      <rPr>
        <vertAlign val="subscript"/>
        <sz val="11"/>
        <color indexed="8"/>
        <rFont val="Calibri"/>
        <family val="2"/>
      </rPr>
      <t>bar</t>
    </r>
  </si>
  <si>
    <r>
      <t>upper X</t>
    </r>
    <r>
      <rPr>
        <vertAlign val="subscript"/>
        <sz val="11"/>
        <color indexed="8"/>
        <rFont val="Calibri"/>
        <family val="2"/>
      </rPr>
      <t>bar</t>
    </r>
  </si>
  <si>
    <t>Sample # Pages From Cartridge</t>
  </si>
  <si>
    <t>Printers Manufacturers is a manufacturer of computer printers and printer</t>
  </si>
  <si>
    <t>cartridges. They would like to create an ad that says how many pages a</t>
  </si>
  <si>
    <t>customer could expect from the cartridge.</t>
  </si>
  <si>
    <t>Something like: "A customer can expect an average of XXX within the margin</t>
  </si>
  <si>
    <t>of error of XXX."</t>
  </si>
  <si>
    <t>X bar (pages)</t>
  </si>
  <si>
    <t>s (pages)</t>
  </si>
  <si>
    <t>Confidence Level</t>
  </si>
  <si>
    <t>Alpha</t>
  </si>
  <si>
    <t>Alpha/2</t>
  </si>
  <si>
    <t>Method 1</t>
  </si>
  <si>
    <t>Method 2</t>
  </si>
  <si>
    <t>Method 3</t>
  </si>
  <si>
    <t>Mean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</si>
  <si>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</si>
  <si>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</si>
  <si>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</si>
  <si>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</si>
  <si>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</si>
  <si>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</si>
  <si>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</si>
  <si>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</si>
  <si>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</si>
  <si>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</si>
  <si>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</si>
  <si>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Confidence Level(95.0%)</t>
  </si>
  <si>
    <t>Lower Limit</t>
  </si>
  <si>
    <t>Upper Limit</t>
  </si>
  <si>
    <t>A customer can expect an average of 2409 pages within the margin</t>
  </si>
  <si>
    <t>of error of 217 pages</t>
  </si>
  <si>
    <t>Confidence Interval</t>
  </si>
  <si>
    <t>Date of Sample</t>
  </si>
  <si>
    <t>Version</t>
  </si>
  <si>
    <t>Version 1</t>
  </si>
  <si>
    <t>Version 2</t>
  </si>
  <si>
    <t>Version 3</t>
  </si>
  <si>
    <t>At 95.00% Confidence Interval, we can expect a Customer to Print between 2192 and 2626 pages from the Printer Cartridge</t>
  </si>
  <si>
    <t xml:space="preserve">Excel 2013 Statistical Analysis #50: t Distribution Confidence Intervals Sigma NOT Known 3 Examples </t>
  </si>
  <si>
    <t>https://www.youtube.com/watch?v=pJxNffzw3FI</t>
  </si>
  <si>
    <t>Check Overall Stats</t>
  </si>
  <si>
    <t>Ave</t>
  </si>
  <si>
    <t>SD</t>
  </si>
  <si>
    <t>Mof E</t>
  </si>
  <si>
    <t>Complete Business Statistics Class:</t>
  </si>
  <si>
    <t xml:space="preserve">Excel Magic Trick 1341: Standard Deviation with Criteria: Power Query, PivotTable, or Array Formula? </t>
  </si>
  <si>
    <t>https://www.youtube.com/watch?v=3mCPWvFJTRc&amp;index=89&amp;list=PLrRPvpgDmw0ngx_uPhvasTbOWLOztsaBj</t>
  </si>
  <si>
    <t>Excel 2013 Statistical Analysis for Business &amp; Economics Playlist of Videos</t>
  </si>
  <si>
    <t>https://www.youtube.com/playlist?list=PLrRPvpgDmw0ngx_uPhvasTbOWLOztsaBj</t>
  </si>
  <si>
    <t>Standard Deviation with Power Query or Array Formyla:</t>
  </si>
  <si>
    <t>Conclusions:</t>
  </si>
  <si>
    <t>Excel Magic Trick 1432: DAX Formulas to Build Confidence Intervals CONFIDENCE.T &amp; STDEV.S &amp; More</t>
  </si>
  <si>
    <t>Average of Sample</t>
  </si>
  <si>
    <t>Standard Deviation of Sample</t>
  </si>
  <si>
    <t>Confidence Internal</t>
  </si>
  <si>
    <t>Ad Claim 01</t>
  </si>
  <si>
    <t>At a 95.00%, we can expect the Pages is between2192 pages and 2626 pages</t>
  </si>
  <si>
    <t>At a 95.00%, we can expect the Pages is between1970 pages and 2324 pages</t>
  </si>
  <si>
    <t>At a 95.00%, we can expect the Pages is between2454 pages and 2858 pages</t>
  </si>
  <si>
    <t>Ad Claim 02</t>
  </si>
  <si>
    <t>At a 95.00%,the average of Pages can be 2409 pages, and the Standard Deviation of Sample is 217 pages</t>
  </si>
  <si>
    <t>At a 95.00%,the average of Pages can be 2147 pages, and the Standard Deviation of Sample is 177 pages</t>
  </si>
  <si>
    <t>At a 95.00%,the average of Pages can be 2656 pages, and the Standard Deviation of Sample is 202 pages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</si>
</sst>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vertAlign val="subscript"/>
      <sz val="11"/>
      <color indexed="8"/>
      <name val="Calibri"/>
      <family val="2"/>
    </font>
    <font>
      <i/>
      <sz val="11"/>
      <color theme="1"/>
      <name val="Calibri"/>
      <family val="2"/>
      <scheme val="minor"/>
    </font>
    <font>
      <sz val="28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4" fillId="0" borderId="0" xfId="1"/>
    <xf numFmtId="0" fontId="0" fillId="0" borderId="1" xfId="0" applyFill="1" applyBorder="1"/>
    <xf numFmtId="0" fontId="2" fillId="0" borderId="0" xfId="0" applyFont="1"/>
    <xf numFmtId="0" fontId="0" fillId="4" borderId="5" xfId="0" applyFill="1" applyBorder="1"/>
    <xf numFmtId="0" fontId="0" fillId="4" borderId="8" xfId="0" applyFill="1" applyBorder="1"/>
    <xf numFmtId="0" fontId="0" fillId="4" borderId="4" xfId="0" applyFill="1" applyBorder="1"/>
    <xf numFmtId="0" fontId="0" fillId="4" borderId="9" xfId="0" applyFill="1" applyBorder="1"/>
    <xf numFmtId="0" fontId="0" fillId="4" borderId="0" xfId="0" applyFill="1" applyBorder="1"/>
    <xf numFmtId="0" fontId="0" fillId="4" borderId="6" xfId="0" applyFill="1" applyBorder="1"/>
    <xf numFmtId="0" fontId="0" fillId="4" borderId="3" xfId="0" applyFill="1" applyBorder="1"/>
    <xf numFmtId="0" fontId="0" fillId="4" borderId="7" xfId="0" applyFill="1" applyBorder="1"/>
    <xf numFmtId="0" fontId="0" fillId="4" borderId="2" xfId="0" applyFill="1" applyBorder="1"/>
    <xf numFmtId="0" fontId="0" fillId="3" borderId="0" xfId="0" applyFill="1"/>
    <xf numFmtId="0" fontId="2" fillId="3" borderId="0" xfId="0" applyFont="1" applyFill="1"/>
    <xf numFmtId="0" fontId="0" fillId="5" borderId="0" xfId="0" applyFill="1"/>
    <xf numFmtId="0" fontId="2" fillId="5" borderId="0" xfId="0" applyFont="1" applyFill="1"/>
    <xf numFmtId="0" fontId="3" fillId="6" borderId="0" xfId="0" applyFont="1" applyFill="1"/>
    <xf numFmtId="0" fontId="1" fillId="6" borderId="0" xfId="0" applyFont="1" applyFill="1"/>
    <xf numFmtId="0" fontId="6" fillId="0" borderId="10" xfId="0" applyFont="1" applyFill="1" applyBorder="1" applyAlignment="1">
      <alignment horizontal="centerContinuous"/>
    </xf>
    <xf numFmtId="0" fontId="0" fillId="0" borderId="0" xfId="0" applyFill="1" applyBorder="1" applyAlignment="1"/>
    <xf numFmtId="0" fontId="0" fillId="0" borderId="11" xfId="0" applyFill="1" applyBorder="1" applyAlignment="1"/>
    <xf numFmtId="0" fontId="0" fillId="0" borderId="12" xfId="0" applyBorder="1"/>
    <xf numFmtId="0" fontId="2" fillId="0" borderId="7" xfId="0" applyFont="1" applyBorder="1" applyAlignment="1">
      <alignment wrapText="1"/>
    </xf>
    <xf numFmtId="0" fontId="0" fillId="0" borderId="8" xfId="0" applyBorder="1"/>
    <xf numFmtId="14" fontId="0" fillId="0" borderId="7" xfId="0" applyNumberFormat="1" applyBorder="1"/>
    <xf numFmtId="14" fontId="0" fillId="0" borderId="12" xfId="0" applyNumberFormat="1" applyBorder="1"/>
    <xf numFmtId="14" fontId="0" fillId="0" borderId="8" xfId="0" applyNumberFormat="1" applyBorder="1"/>
    <xf numFmtId="0" fontId="7" fillId="7" borderId="0" xfId="0" applyFont="1" applyFill="1"/>
    <xf numFmtId="0" fontId="0" fillId="0" borderId="0" xfId="0" pivotButton="1"/>
    <xf numFmtId="0" fontId="0" fillId="0" borderId="0" xfId="0" applyNumberFormat="1"/>
    <xf numFmtId="0" fontId="0" fillId="0" borderId="0" xfId="0" applyAlignment="1">
      <alignment wrapText="1"/>
    </xf>
    <xf numFmtId="3" fontId="0" fillId="0" borderId="0" xfId="0" applyNumberFormat="1"/>
    <xf numFmtId="0" fontId="0" fillId="0" borderId="0" xfId="0" applyNumberFormat="1" applyAlignment="1">
      <alignment wrapText="1"/>
    </xf>
  </cellXfs>
  <cellStyles count="2">
    <cellStyle name="Hyperlink" xfId="1" builtinId="8"/>
    <cellStyle name="Normal" xfId="0" builtinId="0"/>
  </cellStyles>
  <dxfs count="16">
    <dxf>
      <alignment wrapText="1"/>
    </dxf>
    <dxf>
      <alignment wrapText="1"/>
    </dxf>
    <dxf>
      <alignment wrapText="1"/>
    </dxf>
    <dxf>
      <alignment wrapText="0"/>
    </dxf>
    <dxf>
      <alignment wrapText="0"/>
    </dxf>
    <dxf>
      <alignment wrapText="1"/>
    </dxf>
    <dxf>
      <alignment wrapText="1"/>
    </dxf>
    <dxf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numFmt numFmtId="19" formatCode="m/d/yyyy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5"/>
      <tableStyleElement type="headerRow" dxfId="14"/>
    </tableStyle>
  </tableStyles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4.xml"/><Relationship Id="rId18" Type="http://schemas.openxmlformats.org/officeDocument/2006/relationships/customXml" Target="../customXml/item9.xml"/><Relationship Id="rId26" Type="http://schemas.openxmlformats.org/officeDocument/2006/relationships/customXml" Target="../customXml/item17.xml"/><Relationship Id="rId3" Type="http://schemas.openxmlformats.org/officeDocument/2006/relationships/pivotCacheDefinition" Target="pivotCache/pivotCacheDefinition1.xml"/><Relationship Id="rId21" Type="http://schemas.openxmlformats.org/officeDocument/2006/relationships/customXml" Target="../customXml/item12.xml"/><Relationship Id="rId34" Type="http://schemas.openxmlformats.org/officeDocument/2006/relationships/customXml" Target="../customXml/item25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17" Type="http://schemas.openxmlformats.org/officeDocument/2006/relationships/customXml" Target="../customXml/item8.xml"/><Relationship Id="rId25" Type="http://schemas.openxmlformats.org/officeDocument/2006/relationships/customXml" Target="../customXml/item16.xml"/><Relationship Id="rId33" Type="http://schemas.openxmlformats.org/officeDocument/2006/relationships/customXml" Target="../customXml/item2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7.xml"/><Relationship Id="rId20" Type="http://schemas.openxmlformats.org/officeDocument/2006/relationships/customXml" Target="../customXml/item11.xml"/><Relationship Id="rId29" Type="http://schemas.openxmlformats.org/officeDocument/2006/relationships/customXml" Target="../customXml/item20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24" Type="http://schemas.openxmlformats.org/officeDocument/2006/relationships/customXml" Target="../customXml/item15.xml"/><Relationship Id="rId32" Type="http://schemas.openxmlformats.org/officeDocument/2006/relationships/customXml" Target="../customXml/item23.xml"/><Relationship Id="rId5" Type="http://schemas.openxmlformats.org/officeDocument/2006/relationships/connections" Target="connections.xml"/><Relationship Id="rId15" Type="http://schemas.openxmlformats.org/officeDocument/2006/relationships/customXml" Target="../customXml/item6.xml"/><Relationship Id="rId23" Type="http://schemas.openxmlformats.org/officeDocument/2006/relationships/customXml" Target="../customXml/item14.xml"/><Relationship Id="rId28" Type="http://schemas.openxmlformats.org/officeDocument/2006/relationships/customXml" Target="../customXml/item19.xml"/><Relationship Id="rId36" Type="http://schemas.openxmlformats.org/officeDocument/2006/relationships/customXml" Target="../customXml/item27.xml"/><Relationship Id="rId10" Type="http://schemas.openxmlformats.org/officeDocument/2006/relationships/customXml" Target="../customXml/item1.xml"/><Relationship Id="rId19" Type="http://schemas.openxmlformats.org/officeDocument/2006/relationships/customXml" Target="../customXml/item10.xml"/><Relationship Id="rId31" Type="http://schemas.openxmlformats.org/officeDocument/2006/relationships/customXml" Target="../customXml/item22.xml"/><Relationship Id="rId4" Type="http://schemas.openxmlformats.org/officeDocument/2006/relationships/theme" Target="theme/theme1.xml"/><Relationship Id="rId9" Type="http://schemas.openxmlformats.org/officeDocument/2006/relationships/calcChain" Target="calcChain.xml"/><Relationship Id="rId14" Type="http://schemas.openxmlformats.org/officeDocument/2006/relationships/customXml" Target="../customXml/item5.xml"/><Relationship Id="rId22" Type="http://schemas.openxmlformats.org/officeDocument/2006/relationships/customXml" Target="../customXml/item13.xml"/><Relationship Id="rId27" Type="http://schemas.openxmlformats.org/officeDocument/2006/relationships/customXml" Target="../customXml/item18.xml"/><Relationship Id="rId30" Type="http://schemas.openxmlformats.org/officeDocument/2006/relationships/customXml" Target="../customXml/item21.xml"/><Relationship Id="rId35" Type="http://schemas.openxmlformats.org/officeDocument/2006/relationships/customXml" Target="../customXml/item26.xml"/><Relationship Id="rId8" Type="http://schemas.openxmlformats.org/officeDocument/2006/relationships/powerPivotData" Target="model/item.data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tiff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goc Dinh" refreshedDate="43389.88366053241" createdVersion="6" refreshedVersion="6" minRefreshableVersion="3" recordCount="0" supportSubquery="1" supportAdvancedDrill="1" xr:uid="{794359EE-FF82-4056-A5AF-1958E9442775}">
  <cacheSource type="external" connectionId="3"/>
  <cacheFields count="6">
    <cacheField name="[Measures].[Average of Sample]" caption="Average of Sample" numFmtId="0" hierarchy="5" level="32767"/>
    <cacheField name="[Measures].[Standard Deviation of Sample]" caption="Standard Deviation of Sample" numFmtId="0" hierarchy="8" level="32767"/>
    <cacheField name="[Measures].[Confidence Internal]" caption="Confidence Internal" numFmtId="0" hierarchy="9" level="32767"/>
    <cacheField name="[fPageSampleResults].[Version].[Version]" caption="Version" numFmtId="0" hierarchy="2" level="1">
      <sharedItems count="3">
        <s v="Version 1"/>
        <s v="Version 2"/>
        <s v="Version 3"/>
      </sharedItems>
      <extLst>
        <ext xmlns:x15="http://schemas.microsoft.com/office/spreadsheetml/2010/11/main" uri="{4F2E5C28-24EA-4eb8-9CBF-B6C8F9C3D259}">
          <x15:cachedUniqueNames>
            <x15:cachedUniqueName index="0" name="[fPageSampleResults].[Version].&amp;[Version 1]"/>
            <x15:cachedUniqueName index="1" name="[fPageSampleResults].[Version].&amp;[Version 2]"/>
            <x15:cachedUniqueName index="2" name="[fPageSampleResults].[Version].&amp;[Version 3]"/>
          </x15:cachedUniqueNames>
        </ext>
      </extLst>
    </cacheField>
    <cacheField name="[Measures].[Ad Claim 01]" caption="Ad Claim 01" numFmtId="0" hierarchy="12" level="32767"/>
    <cacheField name="[Measures].[Ad Claim 02]" caption="Ad Claim 02" numFmtId="0" hierarchy="13" level="32767"/>
  </cacheFields>
  <cacheHierarchies count="17">
    <cacheHierarchy uniqueName="[fConfidenceInterval].[Confidence Interval]" caption="Confidence Interval" attribute="1" defaultMemberUniqueName="[fConfidenceInterval].[Confidence Interval].[All]" allUniqueName="[fConfidenceInterval].[Confidence Interval].[All]" dimensionUniqueName="[fConfidenceInterval]" displayFolder="" count="0" memberValueDatatype="5" unbalanced="0"/>
    <cacheHierarchy uniqueName="[fPageSampleResults].[Date of Sample]" caption="Date of Sample" attribute="1" time="1" defaultMemberUniqueName="[fPageSampleResults].[Date of Sample].[All]" allUniqueName="[fPageSampleResults].[Date of Sample].[All]" dimensionUniqueName="[fPageSampleResults]" displayFolder="" count="0" memberValueDatatype="7" unbalanced="0"/>
    <cacheHierarchy uniqueName="[fPageSampleResults].[Version]" caption="Version" attribute="1" defaultMemberUniqueName="[fPageSampleResults].[Version].[All]" allUniqueName="[fPageSampleResults].[Version].[All]" dimensionUniqueName="[fPageSampleResults]" displayFolder="" count="2" memberValueDatatype="130" unbalanced="0">
      <fieldsUsage count="2">
        <fieldUsage x="-1"/>
        <fieldUsage x="3"/>
      </fieldsUsage>
    </cacheHierarchy>
    <cacheHierarchy uniqueName="[fPageSampleResults].[Sample # Pages From Cartridge]" caption="Sample # Pages From Cartridge" attribute="1" defaultMemberUniqueName="[fPageSampleResults].[Sample # Pages From Cartridge].[All]" allUniqueName="[fPageSampleResults].[Sample # Pages From Cartridge].[All]" dimensionUniqueName="[fPageSampleResults]" displayFolder="" count="0" memberValueDatatype="20" unbalanced="0"/>
    <cacheHierarchy uniqueName="[Measures].[Sum of Sample # Pages From Cartridge]" caption="Sum of Sample # Pages From Cartridge" measure="1" displayFolder="" measureGroup="fPageSampleResults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verage of Sample]" caption="Average of Sample" measure="1" displayFolder="" measureGroup="fPageSampleResults" count="0" oneField="1">
      <fieldsUsage count="1">
        <fieldUsage x="0"/>
      </fieldsUsage>
    </cacheHierarchy>
    <cacheHierarchy uniqueName="[Measures].[Sample Size]" caption="Sample Size" measure="1" displayFolder="" measureGroup="fPageSampleResults" count="0"/>
    <cacheHierarchy uniqueName="[Measures].[Alpha]" caption="Alpha" measure="1" displayFolder="" measureGroup="fPageSampleResults" count="0"/>
    <cacheHierarchy uniqueName="[Measures].[Standard Deviation of Sample]" caption="Standard Deviation of Sample" measure="1" displayFolder="" measureGroup="fPageSampleResults" count="0" oneField="1">
      <fieldsUsage count="1">
        <fieldUsage x="1"/>
      </fieldsUsage>
    </cacheHierarchy>
    <cacheHierarchy uniqueName="[Measures].[Confidence Internal]" caption="Confidence Internal" measure="1" displayFolder="" measureGroup="fPageSampleResults" count="0" oneField="1">
      <fieldsUsage count="1">
        <fieldUsage x="2"/>
      </fieldsUsage>
    </cacheHierarchy>
    <cacheHierarchy uniqueName="[Measures].[Lower Confidence]" caption="Lower Confidence" measure="1" displayFolder="" measureGroup="fPageSampleResults" count="0"/>
    <cacheHierarchy uniqueName="[Measures].[Upper Confidence]" caption="Upper Confidence" measure="1" displayFolder="" measureGroup="fPageSampleResults" count="0"/>
    <cacheHierarchy uniqueName="[Measures].[Ad Claim 01]" caption="Ad Claim 01" measure="1" displayFolder="" measureGroup="fPageSampleResults" count="0" oneField="1">
      <fieldsUsage count="1">
        <fieldUsage x="4"/>
      </fieldsUsage>
    </cacheHierarchy>
    <cacheHierarchy uniqueName="[Measures].[Ad Claim 02]" caption="Ad Claim 02" measure="1" displayFolder="" measureGroup="fPageSampleResults" count="0" oneField="1">
      <fieldsUsage count="1">
        <fieldUsage x="5"/>
      </fieldsUsage>
    </cacheHierarchy>
    <cacheHierarchy uniqueName="[Measures].[__XL_Count fPageSampleResults]" caption="__XL_Count fPageSampleResults" measure="1" displayFolder="" measureGroup="fPageSampleResults" count="0" hidden="1"/>
    <cacheHierarchy uniqueName="[Measures].[__XL_Count fConfidenceInterval]" caption="__XL_Count fConfidenceInterval" measure="1" displayFolder="" measureGroup="fConfidenceInterval" count="0" hidden="1"/>
    <cacheHierarchy uniqueName="[Measures].[__No measures defined]" caption="__No measures defined" measure="1" displayFolder="" count="0" hidden="1"/>
  </cacheHierarchies>
  <kpis count="0"/>
  <dimensions count="3">
    <dimension name="fConfidenceInterval" uniqueName="[fConfidenceInterval]" caption="fConfidenceInterval"/>
    <dimension name="fPageSampleResults" uniqueName="[fPageSampleResults]" caption="fPageSampleResults"/>
    <dimension measure="1" name="Measures" uniqueName="[Measures]" caption="Measures"/>
  </dimensions>
  <measureGroups count="2">
    <measureGroup name="fConfidenceInterval" caption="fConfidenceInterval"/>
    <measureGroup name="fPageSampleResults" caption="fPageSampleResults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104" applyNumberFormats="0" applyBorderFormats="0" applyFontFormats="0" applyPatternFormats="0" applyAlignmentFormats="0" applyWidthHeightFormats="1" dataCaption="Values" tag="77af433b-f959-4ef7-9427-0f46ac1e174b" updatedVersion="6" minRefreshableVersion="3" showDrill="0" subtotalHiddenItems="1" itemPrintTitles="1" createdVersion="6" indent="0" compact="0" compactData="0" multipleFieldFilters="0">
  <location ref="B4:G7" firstHeaderRow="0" firstDataRow="1" firstDataCol="1"/>
  <pivotFields count="6">
    <pivotField dataField="1" compact="0" outline="0" subtotalTop="0" showAll="0"/>
    <pivotField dataField="1" compact="0" outline="0" subtotalTop="0" showAll="0"/>
    <pivotField dataField="1" compact="0" outline="0" subtotalTop="0" showAll="0"/>
    <pivotField axis="axisRow" compact="0" allDrilled="1" outline="0" subtotalTop="0" showAll="0" dataSourceSort="1" defaultAttributeDrillState="1">
      <items count="4">
        <item x="0"/>
        <item x="1"/>
        <item x="2"/>
        <item t="default"/>
      </items>
    </pivotField>
    <pivotField dataField="1" compact="0" outline="0" subtotalTop="0" showAll="0"/>
    <pivotField dataField="1" compact="0" outline="0" subtotalTop="0" showAll="0"/>
  </pivotFields>
  <rowFields count="1">
    <field x="3"/>
  </rowFields>
  <rowItems count="3">
    <i>
      <x/>
    </i>
    <i>
      <x v="1"/>
    </i>
    <i>
      <x v="2"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fld="0" subtotal="count" baseField="0" baseItem="0"/>
    <dataField fld="1" subtotal="count" baseField="0" baseItem="0"/>
    <dataField fld="2" subtotal="count" baseField="0" baseItem="0"/>
    <dataField fld="4" subtotal="count" baseField="0" baseItem="0"/>
    <dataField fld="5" subtotal="count" baseField="0" baseItem="0"/>
  </dataFields>
  <formats count="7">
    <format dxfId="3">
      <pivotArea dataOnly="0" labelOnly="1" outline="0" axis="axisValues" fieldPosition="0"/>
    </format>
    <format dxfId="4">
      <pivotArea dataOnly="0" labelOnly="1" outline="0" axis="axisValues" fieldPosition="0"/>
    </format>
    <format dxfId="5">
      <pivotArea dataOnly="0" labelOnly="1" outline="0" axis="axisValues" fieldPosition="0"/>
    </format>
    <format dxfId="6">
      <pivotArea dataOnly="0" labelOnly="1" outline="0" axis="axisValues" fieldPosition="0"/>
    </format>
    <format dxfId="2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">
      <pivotArea outline="0" fieldPosition="0">
        <references count="1">
          <reference field="4294967294" count="1" selected="0">
            <x v="3"/>
          </reference>
        </references>
      </pivotArea>
    </format>
    <format dxfId="0">
      <pivotArea dataOnly="0" outline="0" fieldPosition="0">
        <references count="1">
          <reference field="4294967294" count="1">
            <x v="4"/>
          </reference>
        </references>
      </pivotArea>
    </format>
  </formats>
  <pivotHierarchies count="17"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15="http://schemas.microsoft.com/office/spreadsheetml/2010/11/main" uri="{E67621CE-5B39-4880-91FE-76760E9C1902}">
      <x15:pivotTableUISettings>
        <x15:activeTabTopLevelEntity name="[fPageSampleResults]"/>
      </x15:pivotTableUISettings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0000000}" name="fConfidenceInterval" displayName="fConfidenceInterval" ref="H31:H32" totalsRowShown="0">
  <autoFilter ref="H31:H32" xr:uid="{00000000-0009-0000-0100-000005000000}"/>
  <tableColumns count="1">
    <tableColumn id="1" xr3:uid="{00000000-0010-0000-0000-000001000000}" name="Confidence Interva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fPageSampleResults" displayName="fPageSampleResults" ref="A4:C40" totalsRowShown="0" headerRowDxfId="13" headerRowBorderDxfId="12" tableBorderDxfId="11" totalsRowBorderDxfId="10">
  <autoFilter ref="A4:C40" xr:uid="{00000000-0009-0000-0100-000004000000}"/>
  <tableColumns count="3">
    <tableColumn id="2" xr3:uid="{00000000-0010-0000-0100-000002000000}" name="Date of Sample" dataDxfId="9"/>
    <tableColumn id="3" xr3:uid="{00000000-0010-0000-0100-000003000000}" name="Version" dataDxfId="8"/>
    <tableColumn id="1" xr3:uid="{00000000-0010-0000-0100-000001000000}" name="Sample # Pages From Cartridge" dataDxfId="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1.vml"/><Relationship Id="rId3" Type="http://schemas.openxmlformats.org/officeDocument/2006/relationships/hyperlink" Target="https://www.youtube.com/watch?v=3mCPWvFJTRc&amp;index=89&amp;list=PLrRPvpgDmw0ngx_uPhvasTbOWLOztsaBj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www.youtube.com/watch?v=pJxNffzw3FI" TargetMode="External"/><Relationship Id="rId1" Type="http://schemas.openxmlformats.org/officeDocument/2006/relationships/hyperlink" Target="https://www.youtube.com/watch?v=pJxNffzw3FI" TargetMode="External"/><Relationship Id="rId6" Type="http://schemas.openxmlformats.org/officeDocument/2006/relationships/hyperlink" Target="https://www.youtube.com/playlist?list=PLrRPvpgDmw0ngx_uPhvasTbOWLOztsaBj" TargetMode="External"/><Relationship Id="rId11" Type="http://schemas.openxmlformats.org/officeDocument/2006/relationships/comments" Target="../comments1.xml"/><Relationship Id="rId5" Type="http://schemas.openxmlformats.org/officeDocument/2006/relationships/hyperlink" Target="https://www.youtube.com/playlist?list=PLrRPvpgDmw0ngx_uPhvasTbOWLOztsaBj" TargetMode="External"/><Relationship Id="rId10" Type="http://schemas.openxmlformats.org/officeDocument/2006/relationships/table" Target="../tables/table2.xml"/><Relationship Id="rId4" Type="http://schemas.openxmlformats.org/officeDocument/2006/relationships/hyperlink" Target="https://www.youtube.com/watch?v=3mCPWvFJTRc&amp;index=89&amp;list=PLrRPvpgDmw0ngx_uPhvasTbOWLOztsaBj" TargetMode="External"/><Relationship Id="rId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29128-2DD2-4FAF-8830-414E81A36C7F}">
  <dimension ref="B4:G7"/>
  <sheetViews>
    <sheetView tabSelected="1" workbookViewId="0">
      <selection activeCell="B4" sqref="B4:G7"/>
    </sheetView>
  </sheetViews>
  <sheetFormatPr defaultRowHeight="15" x14ac:dyDescent="0.25"/>
  <cols>
    <col min="3" max="3" width="13.140625" customWidth="1"/>
    <col min="4" max="4" width="19.5703125" customWidth="1"/>
    <col min="5" max="5" width="13.140625" customWidth="1"/>
    <col min="6" max="6" width="35.5703125" customWidth="1"/>
    <col min="7" max="7" width="41.28515625" customWidth="1"/>
  </cols>
  <sheetData>
    <row r="4" spans="2:7" ht="30" x14ac:dyDescent="0.25">
      <c r="B4" s="31" t="s">
        <v>42</v>
      </c>
      <c r="C4" s="33" t="s">
        <v>61</v>
      </c>
      <c r="D4" s="33" t="s">
        <v>62</v>
      </c>
      <c r="E4" s="33" t="s">
        <v>63</v>
      </c>
      <c r="F4" s="33" t="s">
        <v>64</v>
      </c>
      <c r="G4" s="33" t="s">
        <v>68</v>
      </c>
    </row>
    <row r="5" spans="2:7" ht="45" x14ac:dyDescent="0.25">
      <c r="B5" t="s">
        <v>43</v>
      </c>
      <c r="C5" s="34">
        <v>2409</v>
      </c>
      <c r="D5" s="32">
        <v>304</v>
      </c>
      <c r="E5" s="32">
        <v>217</v>
      </c>
      <c r="F5" s="35" t="s">
        <v>65</v>
      </c>
      <c r="G5" s="35" t="s">
        <v>69</v>
      </c>
    </row>
    <row r="6" spans="2:7" ht="45" x14ac:dyDescent="0.25">
      <c r="B6" t="s">
        <v>44</v>
      </c>
      <c r="C6" s="34">
        <v>2147</v>
      </c>
      <c r="D6" s="32">
        <v>278</v>
      </c>
      <c r="E6" s="32">
        <v>177</v>
      </c>
      <c r="F6" s="35" t="s">
        <v>66</v>
      </c>
      <c r="G6" s="35" t="s">
        <v>70</v>
      </c>
    </row>
    <row r="7" spans="2:7" ht="45" x14ac:dyDescent="0.25">
      <c r="B7" t="s">
        <v>45</v>
      </c>
      <c r="C7" s="34">
        <v>2656</v>
      </c>
      <c r="D7" s="32">
        <v>349</v>
      </c>
      <c r="E7" s="32">
        <v>202</v>
      </c>
      <c r="F7" s="35" t="s">
        <v>67</v>
      </c>
      <c r="G7" s="35" t="s"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9"/>
  <sheetViews>
    <sheetView zoomScale="70" zoomScaleNormal="70" workbookViewId="0">
      <selection activeCell="C28" sqref="C28"/>
    </sheetView>
  </sheetViews>
  <sheetFormatPr defaultRowHeight="15" x14ac:dyDescent="0.25"/>
  <cols>
    <col min="1" max="1" width="20" customWidth="1"/>
    <col min="2" max="2" width="15.42578125" customWidth="1"/>
    <col min="3" max="3" width="30.28515625" customWidth="1"/>
    <col min="4" max="4" width="1.42578125" customWidth="1"/>
    <col min="5" max="5" width="24.7109375" customWidth="1"/>
    <col min="6" max="6" width="11.85546875" customWidth="1"/>
    <col min="8" max="8" width="28.5703125" customWidth="1"/>
    <col min="11" max="11" width="15" bestFit="1" customWidth="1"/>
    <col min="12" max="12" width="20.5703125" customWidth="1"/>
    <col min="13" max="13" width="22.85546875" customWidth="1"/>
    <col min="14" max="14" width="12.42578125" customWidth="1"/>
    <col min="15" max="15" width="42.140625" customWidth="1"/>
  </cols>
  <sheetData>
    <row r="1" spans="1:15" ht="36" x14ac:dyDescent="0.55000000000000004">
      <c r="A1" s="30" t="s">
        <v>60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</row>
    <row r="4" spans="1:15" x14ac:dyDescent="0.25">
      <c r="A4" s="25" t="s">
        <v>41</v>
      </c>
      <c r="B4" s="25" t="s">
        <v>42</v>
      </c>
      <c r="C4" s="25" t="s">
        <v>9</v>
      </c>
      <c r="E4" s="6" t="s">
        <v>10</v>
      </c>
      <c r="F4" s="7"/>
      <c r="G4" s="7"/>
      <c r="H4" s="7"/>
      <c r="I4" s="8"/>
    </row>
    <row r="5" spans="1:15" x14ac:dyDescent="0.25">
      <c r="A5" s="27">
        <v>42736</v>
      </c>
      <c r="B5" s="27" t="s">
        <v>43</v>
      </c>
      <c r="C5" s="24">
        <v>1907</v>
      </c>
      <c r="E5" s="9" t="s">
        <v>11</v>
      </c>
      <c r="F5" s="10"/>
      <c r="G5" s="10"/>
      <c r="H5" s="10"/>
      <c r="I5" s="11"/>
    </row>
    <row r="6" spans="1:15" x14ac:dyDescent="0.25">
      <c r="A6" s="28">
        <v>42736</v>
      </c>
      <c r="B6" s="28" t="s">
        <v>43</v>
      </c>
      <c r="C6" s="24">
        <v>2501</v>
      </c>
      <c r="E6" s="9" t="s">
        <v>12</v>
      </c>
      <c r="F6" s="10"/>
      <c r="G6" s="10"/>
      <c r="H6" s="10"/>
      <c r="I6" s="11"/>
    </row>
    <row r="7" spans="1:15" x14ac:dyDescent="0.25">
      <c r="A7" s="28">
        <v>42736</v>
      </c>
      <c r="B7" s="28" t="s">
        <v>43</v>
      </c>
      <c r="C7" s="24">
        <v>2258</v>
      </c>
      <c r="E7" s="9" t="s">
        <v>13</v>
      </c>
      <c r="F7" s="10"/>
      <c r="G7" s="10"/>
      <c r="H7" s="10"/>
      <c r="I7" s="11"/>
    </row>
    <row r="8" spans="1:15" x14ac:dyDescent="0.25">
      <c r="A8" s="28">
        <v>42736</v>
      </c>
      <c r="B8" s="28" t="s">
        <v>43</v>
      </c>
      <c r="C8" s="24">
        <v>2410</v>
      </c>
      <c r="E8" s="12" t="s">
        <v>14</v>
      </c>
      <c r="F8" s="13"/>
      <c r="G8" s="13"/>
      <c r="H8" s="13"/>
      <c r="I8" s="14"/>
    </row>
    <row r="9" spans="1:15" x14ac:dyDescent="0.25">
      <c r="A9" s="28">
        <v>42736</v>
      </c>
      <c r="B9" s="28" t="s">
        <v>43</v>
      </c>
      <c r="C9" s="24">
        <v>2942</v>
      </c>
    </row>
    <row r="10" spans="1:15" x14ac:dyDescent="0.25">
      <c r="A10" s="28">
        <v>42736</v>
      </c>
      <c r="B10" s="28" t="s">
        <v>43</v>
      </c>
      <c r="C10" s="24">
        <v>2455</v>
      </c>
      <c r="E10" s="1" t="s">
        <v>15</v>
      </c>
      <c r="F10" s="2">
        <f>ROUND(AVERAGE(C5:C14),0)</f>
        <v>2409</v>
      </c>
      <c r="I10" t="str">
        <f ca="1">IF(_xlfn.ISFORMULA(F10),_xlfn.FORMULATEXT(F10),"")</f>
        <v>=ROUND(AVERAGE(C5:C14),0)</v>
      </c>
      <c r="O10" s="5" t="s">
        <v>53</v>
      </c>
    </row>
    <row r="11" spans="1:15" x14ac:dyDescent="0.25">
      <c r="A11" s="28">
        <v>42736</v>
      </c>
      <c r="B11" s="28" t="s">
        <v>43</v>
      </c>
      <c r="C11" s="24">
        <v>2058</v>
      </c>
      <c r="E11" s="1" t="s">
        <v>16</v>
      </c>
      <c r="F11" s="2">
        <f>ROUND(_xlfn.STDEV.S(C5:C14),0)</f>
        <v>304</v>
      </c>
      <c r="I11" t="str">
        <f ca="1">IF(_xlfn.ISFORMULA(F11),_xlfn.FORMULATEXT(F11),"")</f>
        <v>=ROUND(STDEV.S(C5:C14),0)</v>
      </c>
      <c r="O11" s="3" t="s">
        <v>56</v>
      </c>
    </row>
    <row r="12" spans="1:15" x14ac:dyDescent="0.25">
      <c r="A12" s="28">
        <v>42736</v>
      </c>
      <c r="B12" s="28" t="s">
        <v>43</v>
      </c>
      <c r="C12" s="24">
        <v>2298</v>
      </c>
      <c r="E12" s="1" t="s">
        <v>1</v>
      </c>
      <c r="F12" s="2">
        <f>COUNT(C5:C40)</f>
        <v>36</v>
      </c>
      <c r="I12" t="str">
        <f ca="1">IF(_xlfn.ISFORMULA(F12),_xlfn.FORMULATEXT(F12),"")</f>
        <v>=COUNT(C5:C40)</v>
      </c>
      <c r="O12" s="3" t="s">
        <v>57</v>
      </c>
    </row>
    <row r="13" spans="1:15" x14ac:dyDescent="0.25">
      <c r="A13" s="28">
        <v>42736</v>
      </c>
      <c r="B13" s="28" t="s">
        <v>43</v>
      </c>
      <c r="C13" s="24">
        <v>2751</v>
      </c>
      <c r="E13" s="1" t="s">
        <v>2</v>
      </c>
      <c r="F13" s="1">
        <v>1</v>
      </c>
      <c r="I13" t="str">
        <f ca="1">IF(_xlfn.ISFORMULA(F13),_xlfn.FORMULATEXT(F13),"")</f>
        <v/>
      </c>
      <c r="O13" s="5" t="s">
        <v>0</v>
      </c>
    </row>
    <row r="14" spans="1:15" x14ac:dyDescent="0.25">
      <c r="A14" s="29">
        <v>42736</v>
      </c>
      <c r="B14" s="29" t="s">
        <v>43</v>
      </c>
      <c r="C14" s="26">
        <v>2508</v>
      </c>
      <c r="E14" s="1" t="s">
        <v>3</v>
      </c>
      <c r="F14" s="2">
        <f>F12-F13</f>
        <v>35</v>
      </c>
      <c r="I14" t="str">
        <f ca="1">IF(_xlfn.ISFORMULA(F14),_xlfn.FORMULATEXT(F14),"")</f>
        <v>=F12-F13</v>
      </c>
      <c r="O14" s="3" t="s">
        <v>47</v>
      </c>
    </row>
    <row r="15" spans="1:15" x14ac:dyDescent="0.25">
      <c r="A15" s="28">
        <v>42767</v>
      </c>
      <c r="B15" s="28" t="s">
        <v>44</v>
      </c>
      <c r="C15" s="24">
        <v>2546</v>
      </c>
      <c r="E15" s="1" t="s">
        <v>5</v>
      </c>
      <c r="F15" s="2">
        <f>F11/SQRT(F12)</f>
        <v>50.666666666666664</v>
      </c>
      <c r="G15" s="15"/>
      <c r="H15" s="15"/>
      <c r="I15" t="str">
        <f ca="1">IF(_xlfn.ISFORMULA(F15),_xlfn.FORMULATEXT(F15),"")</f>
        <v>=F11/SQRT(F12)</v>
      </c>
      <c r="O15" s="3" t="s">
        <v>48</v>
      </c>
    </row>
    <row r="16" spans="1:15" x14ac:dyDescent="0.25">
      <c r="A16" s="28">
        <v>42767</v>
      </c>
      <c r="B16" s="28" t="s">
        <v>44</v>
      </c>
      <c r="C16" s="24">
        <v>2280</v>
      </c>
      <c r="E16" s="1" t="s">
        <v>17</v>
      </c>
      <c r="F16" s="1">
        <v>0.95</v>
      </c>
      <c r="H16" s="15"/>
      <c r="I16" t="str">
        <f ca="1">IF(_xlfn.ISFORMULA(F16),_xlfn.FORMULATEXT(F16),"")</f>
        <v/>
      </c>
      <c r="O16" s="5" t="s">
        <v>58</v>
      </c>
    </row>
    <row r="17" spans="1:15" x14ac:dyDescent="0.25">
      <c r="A17" s="28">
        <v>42767</v>
      </c>
      <c r="B17" s="28" t="s">
        <v>44</v>
      </c>
      <c r="C17" s="24">
        <v>1716</v>
      </c>
      <c r="E17" s="4" t="s">
        <v>18</v>
      </c>
      <c r="F17" s="2">
        <f>1-F16</f>
        <v>5.0000000000000044E-2</v>
      </c>
      <c r="H17" s="15"/>
      <c r="I17" t="str">
        <f ca="1">IF(_xlfn.ISFORMULA(F17),_xlfn.FORMULATEXT(F17),"")</f>
        <v>=1-F16</v>
      </c>
      <c r="O17" s="3" t="s">
        <v>54</v>
      </c>
    </row>
    <row r="18" spans="1:15" x14ac:dyDescent="0.25">
      <c r="A18" s="28">
        <v>42767</v>
      </c>
      <c r="B18" s="28" t="s">
        <v>44</v>
      </c>
      <c r="C18" s="24">
        <v>2216</v>
      </c>
      <c r="E18" s="4" t="s">
        <v>19</v>
      </c>
      <c r="F18" s="2">
        <f>F17/2</f>
        <v>2.5000000000000022E-2</v>
      </c>
      <c r="H18" s="15"/>
      <c r="I18" t="str">
        <f ca="1">IF(_xlfn.ISFORMULA(F18),_xlfn.FORMULATEXT(F18),"")</f>
        <v>=F17/2</v>
      </c>
      <c r="O18" s="3" t="s">
        <v>55</v>
      </c>
    </row>
    <row r="19" spans="1:15" x14ac:dyDescent="0.25">
      <c r="A19" s="28">
        <v>42767</v>
      </c>
      <c r="B19" s="28" t="s">
        <v>44</v>
      </c>
      <c r="C19" s="24">
        <v>2277</v>
      </c>
      <c r="E19" s="1" t="s">
        <v>4</v>
      </c>
      <c r="F19" s="2">
        <f>_xlfn.T.INV(1-F18,F14)</f>
        <v>2.0301079282503438</v>
      </c>
      <c r="G19" s="15"/>
      <c r="H19" s="15"/>
      <c r="I19" t="str">
        <f ca="1">IF(_xlfn.ISFORMULA(F19),_xlfn.FORMULATEXT(F19),"")</f>
        <v>=T.INV(1-F18,F14)</v>
      </c>
    </row>
    <row r="20" spans="1:15" x14ac:dyDescent="0.25">
      <c r="A20" s="28">
        <v>42767</v>
      </c>
      <c r="B20" s="28" t="s">
        <v>44</v>
      </c>
      <c r="C20" s="24">
        <v>2007</v>
      </c>
      <c r="E20" s="1" t="s">
        <v>6</v>
      </c>
      <c r="F20" s="2">
        <f>ROUND(F15*F19,0)</f>
        <v>103</v>
      </c>
      <c r="G20" s="15"/>
      <c r="H20" s="16" t="s">
        <v>20</v>
      </c>
      <c r="I20" t="str">
        <f ca="1">IF(_xlfn.ISFORMULA(F20),_xlfn.FORMULATEXT(F20),"")</f>
        <v>=ROUND(F15*F19,0)</v>
      </c>
    </row>
    <row r="21" spans="1:15" x14ac:dyDescent="0.25">
      <c r="A21" s="28">
        <v>42767</v>
      </c>
      <c r="B21" s="28" t="s">
        <v>44</v>
      </c>
      <c r="C21" s="24">
        <v>1793</v>
      </c>
      <c r="E21" s="1" t="s">
        <v>6</v>
      </c>
      <c r="F21" s="2">
        <f>ROUND(_xlfn.CONFIDENCE.T(F17,F11,F12),0)</f>
        <v>103</v>
      </c>
      <c r="G21" s="17"/>
      <c r="H21" s="18" t="s">
        <v>21</v>
      </c>
      <c r="I21" t="str">
        <f ca="1">IF(_xlfn.ISFORMULA(F21),_xlfn.FORMULATEXT(F21),"")</f>
        <v>=ROUND(CONFIDENCE.T(F17,F11,F12),0)</v>
      </c>
    </row>
    <row r="22" spans="1:15" ht="18" x14ac:dyDescent="0.35">
      <c r="A22" s="28">
        <v>42767</v>
      </c>
      <c r="B22" s="28" t="s">
        <v>44</v>
      </c>
      <c r="C22" s="24">
        <v>1801</v>
      </c>
      <c r="E22" s="1" t="s">
        <v>7</v>
      </c>
      <c r="F22" s="2">
        <f>F10-F20</f>
        <v>2306</v>
      </c>
      <c r="I22" t="str">
        <f ca="1">IF(_xlfn.ISFORMULA(F22),_xlfn.FORMULATEXT(F22),"")</f>
        <v>=F10-F20</v>
      </c>
    </row>
    <row r="23" spans="1:15" ht="18" x14ac:dyDescent="0.35">
      <c r="A23" s="28">
        <v>42767</v>
      </c>
      <c r="B23" s="28" t="s">
        <v>44</v>
      </c>
      <c r="C23" s="24">
        <v>2418</v>
      </c>
      <c r="E23" s="1" t="s">
        <v>8</v>
      </c>
      <c r="F23" s="2">
        <f>F10+F21</f>
        <v>2512</v>
      </c>
      <c r="I23" t="str">
        <f ca="1">IF(_xlfn.ISFORMULA(F23),_xlfn.FORMULATEXT(F23),"")</f>
        <v>=F10+F21</v>
      </c>
    </row>
    <row r="24" spans="1:15" x14ac:dyDescent="0.25">
      <c r="A24" s="28">
        <v>42767</v>
      </c>
      <c r="B24" s="28" t="s">
        <v>44</v>
      </c>
      <c r="C24" s="24">
        <v>2021</v>
      </c>
    </row>
    <row r="25" spans="1:15" ht="15.75" thickBot="1" x14ac:dyDescent="0.3">
      <c r="A25" s="28">
        <v>42767</v>
      </c>
      <c r="B25" s="28" t="s">
        <v>44</v>
      </c>
      <c r="C25" s="24">
        <v>2205</v>
      </c>
      <c r="G25" s="19"/>
      <c r="H25" s="20" t="s">
        <v>22</v>
      </c>
    </row>
    <row r="26" spans="1:15" x14ac:dyDescent="0.25">
      <c r="A26" s="28">
        <v>42767</v>
      </c>
      <c r="B26" s="28" t="s">
        <v>44</v>
      </c>
      <c r="C26" s="24">
        <v>2479</v>
      </c>
      <c r="E26" s="21" t="s">
        <v>9</v>
      </c>
      <c r="F26" s="21"/>
    </row>
    <row r="27" spans="1:15" x14ac:dyDescent="0.25">
      <c r="A27" s="28">
        <v>42795</v>
      </c>
      <c r="B27" s="28" t="s">
        <v>45</v>
      </c>
      <c r="C27" s="24">
        <v>3526</v>
      </c>
      <c r="E27" s="22"/>
      <c r="F27" s="22"/>
    </row>
    <row r="28" spans="1:15" x14ac:dyDescent="0.25">
      <c r="A28" s="28">
        <v>42795</v>
      </c>
      <c r="B28" s="28" t="s">
        <v>45</v>
      </c>
      <c r="C28" s="24">
        <v>2870</v>
      </c>
      <c r="E28" s="22" t="s">
        <v>23</v>
      </c>
      <c r="F28" s="22">
        <v>2408.8000000000002</v>
      </c>
    </row>
    <row r="29" spans="1:15" x14ac:dyDescent="0.25">
      <c r="A29" s="28">
        <v>42795</v>
      </c>
      <c r="B29" s="28" t="s">
        <v>45</v>
      </c>
      <c r="C29" s="24">
        <v>2693</v>
      </c>
      <c r="E29" s="22" t="s">
        <v>5</v>
      </c>
      <c r="F29" s="22">
        <v>96.134257970588038</v>
      </c>
    </row>
    <row r="30" spans="1:15" x14ac:dyDescent="0.25">
      <c r="A30" s="28">
        <v>42795</v>
      </c>
      <c r="B30" s="28" t="s">
        <v>45</v>
      </c>
      <c r="C30" s="24">
        <v>2947</v>
      </c>
      <c r="E30" s="22" t="s">
        <v>24</v>
      </c>
      <c r="F30" s="22">
        <v>2432.5</v>
      </c>
    </row>
    <row r="31" spans="1:15" x14ac:dyDescent="0.25">
      <c r="A31" s="28">
        <v>42795</v>
      </c>
      <c r="B31" s="28" t="s">
        <v>45</v>
      </c>
      <c r="C31" s="24">
        <v>2586</v>
      </c>
      <c r="E31" s="22" t="s">
        <v>25</v>
      </c>
      <c r="F31" s="22" t="e">
        <v>#N/A</v>
      </c>
      <c r="H31" t="s">
        <v>40</v>
      </c>
    </row>
    <row r="32" spans="1:15" x14ac:dyDescent="0.25">
      <c r="A32" s="28">
        <v>42795</v>
      </c>
      <c r="B32" s="28" t="s">
        <v>45</v>
      </c>
      <c r="C32" s="24">
        <v>2801</v>
      </c>
      <c r="E32" s="22" t="s">
        <v>26</v>
      </c>
      <c r="F32" s="22">
        <v>304.00321635725453</v>
      </c>
      <c r="H32">
        <v>0.95</v>
      </c>
    </row>
    <row r="33" spans="1:9" x14ac:dyDescent="0.25">
      <c r="A33" s="28">
        <v>42795</v>
      </c>
      <c r="B33" s="28" t="s">
        <v>45</v>
      </c>
      <c r="C33" s="24">
        <v>2219</v>
      </c>
      <c r="E33" s="22" t="s">
        <v>27</v>
      </c>
      <c r="F33" s="22">
        <v>92417.955555555716</v>
      </c>
    </row>
    <row r="34" spans="1:9" x14ac:dyDescent="0.25">
      <c r="A34" s="28">
        <v>42795</v>
      </c>
      <c r="B34" s="28" t="s">
        <v>45</v>
      </c>
      <c r="C34" s="24">
        <v>2534</v>
      </c>
      <c r="E34" s="22" t="s">
        <v>28</v>
      </c>
      <c r="F34" s="22">
        <v>0.1052419625105161</v>
      </c>
    </row>
    <row r="35" spans="1:9" x14ac:dyDescent="0.25">
      <c r="A35" s="28">
        <v>42795</v>
      </c>
      <c r="B35" s="28" t="s">
        <v>45</v>
      </c>
      <c r="C35" s="24">
        <v>2318</v>
      </c>
      <c r="E35" s="22" t="s">
        <v>29</v>
      </c>
      <c r="F35" s="22">
        <v>9.4946322263048152E-2</v>
      </c>
    </row>
    <row r="36" spans="1:9" x14ac:dyDescent="0.25">
      <c r="A36" s="28">
        <v>42795</v>
      </c>
      <c r="B36" s="28" t="s">
        <v>45</v>
      </c>
      <c r="C36" s="24">
        <v>2197</v>
      </c>
      <c r="E36" s="22" t="s">
        <v>30</v>
      </c>
      <c r="F36" s="22">
        <v>1035</v>
      </c>
      <c r="H36" t="s">
        <v>49</v>
      </c>
    </row>
    <row r="37" spans="1:9" x14ac:dyDescent="0.25">
      <c r="A37" s="28">
        <v>42795</v>
      </c>
      <c r="B37" s="28" t="s">
        <v>45</v>
      </c>
      <c r="C37" s="24">
        <v>2878</v>
      </c>
      <c r="E37" s="22" t="s">
        <v>31</v>
      </c>
      <c r="F37" s="22">
        <v>1907</v>
      </c>
      <c r="H37" t="s">
        <v>50</v>
      </c>
      <c r="I37">
        <f>AVERAGE(fPageSampleResults[Sample '# Pages From Cartridge])</f>
        <v>2417.5</v>
      </c>
    </row>
    <row r="38" spans="1:9" x14ac:dyDescent="0.25">
      <c r="A38" s="28">
        <v>42795</v>
      </c>
      <c r="B38" s="28" t="s">
        <v>45</v>
      </c>
      <c r="C38" s="24">
        <v>2372</v>
      </c>
      <c r="E38" s="22" t="s">
        <v>32</v>
      </c>
      <c r="F38" s="22">
        <v>2942</v>
      </c>
      <c r="H38" t="s">
        <v>51</v>
      </c>
      <c r="I38">
        <f>_xlfn.STDEV.S(fPageSampleResults[Sample '# Pages From Cartridge])</f>
        <v>375.98658790668884</v>
      </c>
    </row>
    <row r="39" spans="1:9" x14ac:dyDescent="0.25">
      <c r="A39" s="28">
        <v>42795</v>
      </c>
      <c r="B39" s="28" t="s">
        <v>45</v>
      </c>
      <c r="C39" s="24">
        <v>2554</v>
      </c>
      <c r="E39" s="22" t="s">
        <v>33</v>
      </c>
      <c r="F39" s="22">
        <v>24088</v>
      </c>
      <c r="H39" t="s">
        <v>1</v>
      </c>
      <c r="I39">
        <f>COUNT(fPageSampleResults[Sample '# Pages From Cartridge])</f>
        <v>36</v>
      </c>
    </row>
    <row r="40" spans="1:9" x14ac:dyDescent="0.25">
      <c r="A40" s="29">
        <v>42795</v>
      </c>
      <c r="B40" s="29" t="s">
        <v>45</v>
      </c>
      <c r="C40" s="26">
        <v>2688</v>
      </c>
      <c r="E40" s="22" t="s">
        <v>34</v>
      </c>
      <c r="F40" s="22">
        <v>10</v>
      </c>
      <c r="H40" t="s">
        <v>52</v>
      </c>
      <c r="I40">
        <f>_xlfn.CONFIDENCE.T(F17,I38,I39)</f>
        <v>127.2155588375273</v>
      </c>
    </row>
    <row r="41" spans="1:9" ht="15.75" thickBot="1" x14ac:dyDescent="0.3">
      <c r="E41" s="23" t="s">
        <v>35</v>
      </c>
      <c r="F41" s="23">
        <v>217.47080025845614</v>
      </c>
    </row>
    <row r="43" spans="1:9" x14ac:dyDescent="0.25">
      <c r="E43" t="s">
        <v>36</v>
      </c>
      <c r="F43">
        <f>F28-F41</f>
        <v>2191.329199741544</v>
      </c>
    </row>
    <row r="44" spans="1:9" x14ac:dyDescent="0.25">
      <c r="E44" t="s">
        <v>37</v>
      </c>
      <c r="F44">
        <f>F28+F41</f>
        <v>2626.2708002584563</v>
      </c>
    </row>
    <row r="46" spans="1:9" x14ac:dyDescent="0.25">
      <c r="E46" s="5" t="s">
        <v>59</v>
      </c>
    </row>
    <row r="47" spans="1:9" x14ac:dyDescent="0.25">
      <c r="E47" t="s">
        <v>38</v>
      </c>
    </row>
    <row r="48" spans="1:9" x14ac:dyDescent="0.25">
      <c r="E48" t="s">
        <v>39</v>
      </c>
    </row>
    <row r="49" spans="5:5" x14ac:dyDescent="0.25">
      <c r="E49" t="s">
        <v>46</v>
      </c>
    </row>
  </sheetData>
  <hyperlinks>
    <hyperlink ref="O14" r:id="rId1" xr:uid="{00000000-0004-0000-0000-000000000000}"/>
    <hyperlink ref="O15" r:id="rId2" xr:uid="{00000000-0004-0000-0000-000001000000}"/>
    <hyperlink ref="O18" r:id="rId3" xr:uid="{00000000-0004-0000-0000-000002000000}"/>
    <hyperlink ref="O17" r:id="rId4" xr:uid="{00000000-0004-0000-0000-000003000000}"/>
    <hyperlink ref="O11" r:id="rId5" xr:uid="{00000000-0004-0000-0000-000004000000}"/>
    <hyperlink ref="O12" r:id="rId6" xr:uid="{00000000-0004-0000-0000-000005000000}"/>
  </hyperlinks>
  <pageMargins left="0.7" right="0.7" top="0.75" bottom="0.75" header="0.3" footer="0.3"/>
  <pageSetup orientation="portrait" r:id="rId7"/>
  <legacyDrawing r:id="rId8"/>
  <tableParts count="2">
    <tablePart r:id="rId9"/>
    <tablePart r:id="rId10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Props1.xml><?xml version="1.0" encoding="utf-8"?>
<ds:datastoreItem xmlns:ds="http://schemas.openxmlformats.org/officeDocument/2006/customXml" ds:itemID="{8F9C4945-D317-4296-8BBC-43B0C0E6A2E1}">
  <ds:schemaRefs/>
</ds:datastoreItem>
</file>

<file path=customXml/itemProps2.xml><?xml version="1.0" encoding="utf-8"?>
<ds:datastoreItem xmlns:ds="http://schemas.openxmlformats.org/officeDocument/2006/customXml" ds:itemID="{E8531B84-4ED4-4EB7-806E-1030617E8DBC}">
  <ds:schemaRefs/>
</ds:datastoreItem>
</file>

<file path=customXml/itemProps3.xml><?xml version="1.0" encoding="utf-8"?>
<ds:datastoreItem xmlns:ds="http://schemas.openxmlformats.org/officeDocument/2006/customXml" ds:itemID="{9D7E3BC9-A8E2-4B11-B0F9-920F4FA4BF8F}">
  <ds:schemaRefs/>
</ds:datastoreItem>
</file>

<file path=customXml/itemProps4.xml><?xml version="1.0" encoding="utf-8"?>
<ds:datastoreItem xmlns:ds="http://schemas.openxmlformats.org/officeDocument/2006/customXml" ds:itemID="{070263B4-1153-4641-98D3-37F72397E7B9}">
  <ds:schemaRefs/>
</ds:datastoreItem>
</file>

<file path=customXml/itemProps5.xml><?xml version="1.0" encoding="utf-8"?>
<ds:datastoreItem xmlns:ds="http://schemas.openxmlformats.org/officeDocument/2006/customXml" ds:itemID="{E241007A-A62B-4A16-A21F-18C0AA1B8BEB}">
  <ds:schemaRefs/>
</ds:datastoreItem>
</file>

<file path=customXml/itemProps6.xml><?xml version="1.0" encoding="utf-8"?>
<ds:datastoreItem xmlns:ds="http://schemas.openxmlformats.org/officeDocument/2006/customXml" ds:itemID="{B48CFE39-0E25-4A25-BF81-ED1EEA672C63}">
  <ds:schemaRefs>
    <ds:schemaRef ds:uri="http://schemas.microsoft.com/DataMashup"/>
  </ds:schemaRefs>
</ds:datastoreItem>
</file>

<file path=customXml/itemProps7.xml><?xml version="1.0" encoding="utf-8"?>
<ds:datastoreItem xmlns:ds="http://schemas.openxmlformats.org/officeDocument/2006/customXml" ds:itemID="{9470129C-EDCB-4797-890F-27DB4FD91F4E}">
  <ds:schemaRefs/>
</ds:datastoreItem>
</file>

<file path=customXml/itemProps8.xml><?xml version="1.0" encoding="utf-8"?>
<ds:datastoreItem xmlns:ds="http://schemas.openxmlformats.org/officeDocument/2006/customXml" ds:itemID="{507D89D4-A58A-4C77-A854-B7BEB7A4AFF8}">
  <ds:schemaRefs/>
</ds:datastoreItem>
</file>

<file path=customXml/itemProps9.xml><?xml version="1.0" encoding="utf-8"?>
<ds:datastoreItem xmlns:ds="http://schemas.openxmlformats.org/officeDocument/2006/customXml" ds:itemID="{1C9547D3-0A23-4EE3-BCFF-09DAB3CFECA2}">
  <ds:schemaRefs/>
</ds:datastoreItem>
</file>

<file path=customXml/itemProps10.xml><?xml version="1.0" encoding="utf-8"?>
<ds:datastoreItem xmlns:ds="http://schemas.openxmlformats.org/officeDocument/2006/customXml" ds:itemID="{1B7C6DBD-E37D-4709-8B6E-D61AEBB39E70}">
  <ds:schemaRefs/>
</ds:datastoreItem>
</file>

<file path=customXml/itemProps11.xml><?xml version="1.0" encoding="utf-8"?>
<ds:datastoreItem xmlns:ds="http://schemas.openxmlformats.org/officeDocument/2006/customXml" ds:itemID="{22B64906-E696-4B06-9C19-3225E3AA587E}">
  <ds:schemaRefs/>
</ds:datastoreItem>
</file>

<file path=customXml/itemProps12.xml><?xml version="1.0" encoding="utf-8"?>
<ds:datastoreItem xmlns:ds="http://schemas.openxmlformats.org/officeDocument/2006/customXml" ds:itemID="{6FE85E49-E0E7-4D6B-9FF4-58DF1284E041}">
  <ds:schemaRefs/>
</ds:datastoreItem>
</file>

<file path=customXml/itemProps13.xml><?xml version="1.0" encoding="utf-8"?>
<ds:datastoreItem xmlns:ds="http://schemas.openxmlformats.org/officeDocument/2006/customXml" ds:itemID="{1666C95B-137C-47F7-86E3-57C190E57D53}">
  <ds:schemaRefs/>
</ds:datastoreItem>
</file>

<file path=customXml/itemProps14.xml><?xml version="1.0" encoding="utf-8"?>
<ds:datastoreItem xmlns:ds="http://schemas.openxmlformats.org/officeDocument/2006/customXml" ds:itemID="{22E694BB-E6A0-40FA-A289-4B19A09F5E2D}">
  <ds:schemaRefs/>
</ds:datastoreItem>
</file>

<file path=customXml/itemProps15.xml><?xml version="1.0" encoding="utf-8"?>
<ds:datastoreItem xmlns:ds="http://schemas.openxmlformats.org/officeDocument/2006/customXml" ds:itemID="{425D0ED2-063C-4D3D-85FA-59456ED9B1B8}">
  <ds:schemaRefs/>
</ds:datastoreItem>
</file>

<file path=customXml/itemProps16.xml><?xml version="1.0" encoding="utf-8"?>
<ds:datastoreItem xmlns:ds="http://schemas.openxmlformats.org/officeDocument/2006/customXml" ds:itemID="{AF102DAD-E61A-44CD-86FE-E7096DE11A63}">
  <ds:schemaRefs/>
</ds:datastoreItem>
</file>

<file path=customXml/itemProps17.xml><?xml version="1.0" encoding="utf-8"?>
<ds:datastoreItem xmlns:ds="http://schemas.openxmlformats.org/officeDocument/2006/customXml" ds:itemID="{5FBF139C-D5F2-4E53-987F-06A65A8ED83E}">
  <ds:schemaRefs/>
</ds:datastoreItem>
</file>

<file path=customXml/itemProps18.xml><?xml version="1.0" encoding="utf-8"?>
<ds:datastoreItem xmlns:ds="http://schemas.openxmlformats.org/officeDocument/2006/customXml" ds:itemID="{70ECB5CE-55EF-4D19-B257-316224671316}">
  <ds:schemaRefs/>
</ds:datastoreItem>
</file>

<file path=customXml/itemProps19.xml><?xml version="1.0" encoding="utf-8"?>
<ds:datastoreItem xmlns:ds="http://schemas.openxmlformats.org/officeDocument/2006/customXml" ds:itemID="{BDFF775B-84D8-4A87-A627-980A2D398946}">
  <ds:schemaRefs/>
</ds:datastoreItem>
</file>

<file path=customXml/itemProps20.xml><?xml version="1.0" encoding="utf-8"?>
<ds:datastoreItem xmlns:ds="http://schemas.openxmlformats.org/officeDocument/2006/customXml" ds:itemID="{67284DC4-AE3B-4812-AA74-07719EFED7AB}">
  <ds:schemaRefs/>
</ds:datastoreItem>
</file>

<file path=customXml/itemProps21.xml><?xml version="1.0" encoding="utf-8"?>
<ds:datastoreItem xmlns:ds="http://schemas.openxmlformats.org/officeDocument/2006/customXml" ds:itemID="{57EAA6F1-1B67-4F5C-BE53-95C0DD33C224}">
  <ds:schemaRefs/>
</ds:datastoreItem>
</file>

<file path=customXml/itemProps22.xml><?xml version="1.0" encoding="utf-8"?>
<ds:datastoreItem xmlns:ds="http://schemas.openxmlformats.org/officeDocument/2006/customXml" ds:itemID="{DD020276-CA62-4F5C-B7D8-321AFB8911EC}">
  <ds:schemaRefs/>
</ds:datastoreItem>
</file>

<file path=customXml/itemProps23.xml><?xml version="1.0" encoding="utf-8"?>
<ds:datastoreItem xmlns:ds="http://schemas.openxmlformats.org/officeDocument/2006/customXml" ds:itemID="{A627D028-CC80-4985-AA92-06CBDBF5807A}">
  <ds:schemaRefs/>
</ds:datastoreItem>
</file>

<file path=customXml/itemProps24.xml><?xml version="1.0" encoding="utf-8"?>
<ds:datastoreItem xmlns:ds="http://schemas.openxmlformats.org/officeDocument/2006/customXml" ds:itemID="{31BB0533-B847-4DFA-9F8B-37AB91D2DAB7}">
  <ds:schemaRefs/>
</ds:datastoreItem>
</file>

<file path=customXml/itemProps25.xml><?xml version="1.0" encoding="utf-8"?>
<ds:datastoreItem xmlns:ds="http://schemas.openxmlformats.org/officeDocument/2006/customXml" ds:itemID="{3245670D-DEDC-44BC-B6F6-DB835A748854}">
  <ds:schemaRefs/>
</ds:datastoreItem>
</file>

<file path=customXml/itemProps26.xml><?xml version="1.0" encoding="utf-8"?>
<ds:datastoreItem xmlns:ds="http://schemas.openxmlformats.org/officeDocument/2006/customXml" ds:itemID="{EBCB24FC-0E87-425C-9964-9E0C4A9C8152}">
  <ds:schemaRefs/>
</ds:datastoreItem>
</file>

<file path=customXml/itemProps27.xml><?xml version="1.0" encoding="utf-8"?>
<ds:datastoreItem xmlns:ds="http://schemas.openxmlformats.org/officeDocument/2006/customXml" ds:itemID="{D3793345-79E0-4598-AE2D-F106CF6FB4A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PV Report</vt:lpstr>
      <vt:lpstr>Statistics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Girvin, Michael</dc:creator>
  <cp:lastModifiedBy>Ngoc Dinh</cp:lastModifiedBy>
  <dcterms:created xsi:type="dcterms:W3CDTF">2017-05-15T16:56:07Z</dcterms:created>
  <dcterms:modified xsi:type="dcterms:W3CDTF">2018-10-16T14:26:43Z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f0ecda01-e967-4bea-aaa5-01675e40b9bf</vt:lpwstr>
  </property>
</Properties>
</file>