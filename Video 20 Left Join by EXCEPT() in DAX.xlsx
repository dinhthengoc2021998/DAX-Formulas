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77BDE1D3-1CCD-492A-B8C9-621A744B7981}" xr6:coauthVersionLast="38" xr6:coauthVersionMax="38" xr10:uidLastSave="{00000000-0000-0000-0000-000000000000}"/>
  <bookViews>
    <workbookView xWindow="0" yWindow="0" windowWidth="24000" windowHeight="10950" xr2:uid="{00000000-000D-0000-FFFF-FFFF00000000}"/>
  </bookViews>
  <sheets>
    <sheet name="1441-1442" sheetId="1" r:id="rId1"/>
  </sheets>
  <definedNames>
    <definedName name="_xlnm._FilterDatabase" localSheetId="0" hidden="1">'1441-1442'!$A$5:$A$14</definedName>
    <definedName name="_xlcn.WorksheetConnection_EMT14411442Start.xlsxCustomers1" hidden="1">Customers[]</definedName>
    <definedName name="_xlcn.WorksheetConnection_EMT14411442Start.xlsxPCustomers1" hidden="1">PCustomers[]</definedName>
    <definedName name="_xlnm.Criteria" localSheetId="0">'1441-1442'!$E$11:$E$12</definedName>
    <definedName name="_xlnm.Extract" localSheetId="0">'1441-1442'!$E$14</definedName>
    <definedName name="PCustomers_1" localSheetId="0" hidden="1">'1441-1442'!$E$21:$E$23</definedName>
  </definedNames>
  <calcPr calcId="179021"/>
  <fileRecoveryPr autoRecover="0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Customers" name="PCustomers" connection="WorksheetConnection_EMT1441-1442Start.xlsx!PCustomers"/>
          <x15:modelTable id="Customers" name="Customers" connection="WorksheetConnection_EMT1441-1442Star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" i="1" l="1"/>
  <c r="G12" i="1" l="1"/>
  <c r="G16" i="1" s="1"/>
  <c r="E12" i="1"/>
  <c r="G19" i="1" l="1"/>
  <c r="G18" i="1"/>
  <c r="G17" i="1"/>
  <c r="G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BB0D7-2FDC-4FAA-9DA5-222D7F5437AD}" keepAlive="1" name="ModelConnection_PCustomers_1" description="Data Model" type="5" refreshedVersion="6" minRefreshableVersion="5" saveData="1">
    <dbPr connection="Data Model Connection" command="EVALUATE_x000d__x000a_EXCEPT(PCustomers,Customers)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B44C878F-86A6-416E-A52C-0C79A90F36E2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B4D9B31-64C5-4BA9-91B1-574F53458095}" name="WorksheetConnection_EMT1441-1442Start.xlsx!Customers" type="102" refreshedVersion="6" minRefreshableVersion="5">
    <extLst>
      <ext xmlns:x15="http://schemas.microsoft.com/office/spreadsheetml/2010/11/main" uri="{DE250136-89BD-433C-8126-D09CA5730AF9}">
        <x15:connection id="Customers">
          <x15:rangePr sourceName="_xlcn.WorksheetConnection_EMT14411442Start.xlsxCustomers1"/>
        </x15:connection>
      </ext>
    </extLst>
  </connection>
  <connection id="4" xr16:uid="{EA2A39A5-6E95-4F7B-86CF-C2411637AA89}" name="WorksheetConnection_EMT1441-1442Start.xlsx!PCustomers" type="102" refreshedVersion="6" minRefreshableVersion="5">
    <extLst>
      <ext xmlns:x15="http://schemas.microsoft.com/office/spreadsheetml/2010/11/main" uri="{DE250136-89BD-433C-8126-D09CA5730AF9}">
        <x15:connection id="PCustomers" autoDelete="1">
          <x15:rangePr sourceName="_xlcn.WorksheetConnection_EMT14411442Start.xlsxPCustomers1"/>
        </x15:connection>
      </ext>
    </extLst>
  </connection>
</connections>
</file>

<file path=xl/sharedStrings.xml><?xml version="1.0" encoding="utf-8"?>
<sst xmlns="http://schemas.openxmlformats.org/spreadsheetml/2006/main" count="44" uniqueCount="28">
  <si>
    <t>Perspective Customers</t>
  </si>
  <si>
    <t>Customers</t>
  </si>
  <si>
    <t>Abdi</t>
  </si>
  <si>
    <t>Tyrone</t>
  </si>
  <si>
    <t>Gigi</t>
  </si>
  <si>
    <t>Sioux</t>
  </si>
  <si>
    <t>Fanny</t>
  </si>
  <si>
    <t>Bin</t>
  </si>
  <si>
    <t>Sheliadawn</t>
  </si>
  <si>
    <t>Kiki</t>
  </si>
  <si>
    <t>Bran</t>
  </si>
  <si>
    <t>Hin</t>
  </si>
  <si>
    <t>Mo</t>
  </si>
  <si>
    <t>Jo</t>
  </si>
  <si>
    <t>Synci</t>
  </si>
  <si>
    <t>Chin</t>
  </si>
  <si>
    <t>Abdalla</t>
  </si>
  <si>
    <t>Faraji</t>
  </si>
  <si>
    <t xml:space="preserve">Excel Magic Trick 1229 Extract Items NOT in List 1: Conditional Format Unique Values &amp; Sort by Color </t>
  </si>
  <si>
    <t xml:space="preserve">Excel Magic Trick 1226: Compare 2 Lists, Extract Items In List 2 That are NOT in List 1 (6 Examples) </t>
  </si>
  <si>
    <t>List 1:</t>
  </si>
  <si>
    <t>List 2:</t>
  </si>
  <si>
    <t>Excel Magic Trick 1441: Power Query to Extract Items In List 1 That Are NOT In List 2</t>
  </si>
  <si>
    <t>Excel Magic Trick 1442: DAX Query &amp; EXCEPT Function to Extract Items In List 1 That Are NOT In List 2</t>
  </si>
  <si>
    <t>Other Excel Methods for Comparing Two Lists:</t>
  </si>
  <si>
    <t>Advanced Filter:</t>
  </si>
  <si>
    <t>Spreadhseet Formula:</t>
  </si>
  <si>
    <t>Prospective 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</si>
</sst>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0" fillId="0" borderId="2" xfId="0" applyBorder="1"/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3" fillId="0" borderId="0" xfId="1"/>
    <xf numFmtId="0" fontId="2" fillId="0" borderId="0" xfId="0" applyFont="1"/>
    <xf numFmtId="0" fontId="4" fillId="4" borderId="0" xfId="0" applyFont="1" applyFill="1"/>
  </cellXfs>
  <cellStyles count="2">
    <cellStyle name="Hyperlink" xfId="1" builtinId="8"/>
    <cellStyle name="Normal" xfId="0" builtinId="0"/>
  </cellStyles>
  <dxfs count="10"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91966</xdr:colOff>
      <xdr:row>7</xdr:row>
      <xdr:rowOff>157656</xdr:rowOff>
    </xdr:from>
    <xdr:to>
      <xdr:col>11</xdr:col>
      <xdr:colOff>72328</xdr:colOff>
      <xdr:row>22</xdr:row>
      <xdr:rowOff>170794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21D14-C9EB-4629-9EF2-9095CDCC09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8" b="6167"/>
        <a:stretch/>
      </xdr:blipFill>
      <xdr:spPr>
        <a:xfrm>
          <a:off x="7390087" y="1970690"/>
          <a:ext cx="2424017" cy="2870638"/>
        </a:xfrm>
        <a:prstGeom prst="rect">
          <a:avLst/>
        </a:prstGeom>
        <a:ln w="28575">
          <a:solidFill>
            <a:srgbClr val="FF0000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ustomers_1" backgroundRefresh="0" connectionId="1" xr16:uid="{0405668B-B34C-4F0E-8F01-0049C236B252}" autoFormatId="16" applyNumberFormats="0" applyBorderFormats="0" applyFontFormats="0" applyPatternFormats="0" applyAlignmentFormats="0" applyWidthHeightFormats="0">
  <queryTableRefresh nextId="2">
    <queryTableFields count="1">
      <queryTableField id="1" name="Prospective  Customers" tableColumnId="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Customers" displayName="PCustomers" ref="A5:A14" totalsRowShown="0" headerRowDxfId="9" headerRowBorderDxfId="8" tableBorderDxfId="7" totalsRowBorderDxfId="6">
  <autoFilter ref="A5:A14" xr:uid="{00000000-0009-0000-0100-000001000000}"/>
  <tableColumns count="1">
    <tableColumn id="1" xr3:uid="{00000000-0010-0000-0000-000001000000}" name="Prospective  Customer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" displayName="Customers" ref="C5:C19" totalsRowShown="0" headerRowDxfId="4" headerRowBorderDxfId="3" tableBorderDxfId="2" totalsRowBorderDxfId="1">
  <autoFilter ref="C5:C19" xr:uid="{00000000-0009-0000-0100-000002000000}"/>
  <tableColumns count="1">
    <tableColumn id="1" xr3:uid="{00000000-0010-0000-0100-000001000000}" name="Customer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BB1919-FF27-4C80-BB75-8EA389116AF7}" name="Table_PCustomers_1" displayName="Table_PCustomers_1" ref="E21:E23" tableType="queryTable" totalsRowShown="0">
  <tableColumns count="1">
    <tableColumn id="1" xr3:uid="{F6451BA9-A928-4963-B3C1-BC434988FD80}" uniqueName="1" name="Prospective  Customers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watch?v=9h1omv60MCA" TargetMode="External"/><Relationship Id="rId1" Type="http://schemas.openxmlformats.org/officeDocument/2006/relationships/hyperlink" Target="https://www.youtube.com/watch?v=E3_vMI3LjJU" TargetMode="Externa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115" zoomScaleNormal="115" workbookViewId="0">
      <selection activeCell="E21" sqref="E21"/>
    </sheetView>
  </sheetViews>
  <sheetFormatPr defaultRowHeight="15" x14ac:dyDescent="0.25"/>
  <cols>
    <col min="1" max="1" width="12.85546875" customWidth="1"/>
    <col min="2" max="2" width="12" customWidth="1"/>
    <col min="3" max="3" width="13" customWidth="1"/>
    <col min="4" max="4" width="13.85546875" customWidth="1"/>
    <col min="5" max="5" width="24.42578125" bestFit="1" customWidth="1"/>
    <col min="7" max="7" width="24" customWidth="1"/>
    <col min="14" max="15" width="9.7109375" customWidth="1"/>
  </cols>
  <sheetData>
    <row r="1" spans="1:15" ht="26.25" x14ac:dyDescent="0.4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6.25" x14ac:dyDescent="0.4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5" x14ac:dyDescent="0.25">
      <c r="A3" s="8" t="s">
        <v>20</v>
      </c>
      <c r="C3" s="8" t="s">
        <v>21</v>
      </c>
      <c r="E3" s="8" t="s">
        <v>24</v>
      </c>
    </row>
    <row r="4" spans="1:15" x14ac:dyDescent="0.25">
      <c r="E4" s="7" t="s">
        <v>19</v>
      </c>
    </row>
    <row r="5" spans="1:15" ht="30" x14ac:dyDescent="0.25">
      <c r="A5" s="5" t="s">
        <v>27</v>
      </c>
      <c r="C5" s="5" t="s">
        <v>1</v>
      </c>
      <c r="E5" s="7" t="s">
        <v>18</v>
      </c>
    </row>
    <row r="6" spans="1:15" x14ac:dyDescent="0.25">
      <c r="A6" s="4" t="s">
        <v>6</v>
      </c>
      <c r="C6" s="4" t="s">
        <v>2</v>
      </c>
      <c r="E6" t="s">
        <v>22</v>
      </c>
    </row>
    <row r="7" spans="1:15" x14ac:dyDescent="0.25">
      <c r="A7" s="4" t="s">
        <v>3</v>
      </c>
      <c r="C7" s="4" t="s">
        <v>16</v>
      </c>
      <c r="E7" t="s">
        <v>23</v>
      </c>
    </row>
    <row r="8" spans="1:15" x14ac:dyDescent="0.25">
      <c r="A8" s="4" t="s">
        <v>4</v>
      </c>
      <c r="C8" s="4" t="s">
        <v>17</v>
      </c>
    </row>
    <row r="9" spans="1:15" x14ac:dyDescent="0.25">
      <c r="A9" s="4" t="s">
        <v>5</v>
      </c>
      <c r="C9" s="4" t="s">
        <v>3</v>
      </c>
      <c r="E9" s="8" t="s">
        <v>25</v>
      </c>
      <c r="G9" s="8" t="s">
        <v>26</v>
      </c>
    </row>
    <row r="10" spans="1:15" x14ac:dyDescent="0.25">
      <c r="A10" s="4" t="s">
        <v>2</v>
      </c>
      <c r="C10" s="4" t="s">
        <v>11</v>
      </c>
    </row>
    <row r="11" spans="1:15" x14ac:dyDescent="0.25">
      <c r="A11" s="4" t="s">
        <v>7</v>
      </c>
      <c r="C11" s="4" t="s">
        <v>12</v>
      </c>
      <c r="E11" s="1"/>
      <c r="G11" s="1"/>
    </row>
    <row r="12" spans="1:15" x14ac:dyDescent="0.25">
      <c r="A12" s="4" t="s">
        <v>8</v>
      </c>
      <c r="C12" s="4" t="s">
        <v>6</v>
      </c>
      <c r="E12" s="3" t="b">
        <f>ISNA(MATCH(A6,Customers[Customers],0))</f>
        <v>0</v>
      </c>
      <c r="G12" s="3">
        <f>SUMPRODUCT(--ISNA(MATCH(PCustomers[Prospective  Customers],Customers[Customers],0)))</f>
        <v>2</v>
      </c>
    </row>
    <row r="13" spans="1:15" x14ac:dyDescent="0.25">
      <c r="A13" s="4" t="s">
        <v>9</v>
      </c>
      <c r="C13" s="4" t="s">
        <v>7</v>
      </c>
    </row>
    <row r="14" spans="1:15" x14ac:dyDescent="0.25">
      <c r="A14" s="6" t="s">
        <v>10</v>
      </c>
      <c r="C14" s="4" t="s">
        <v>13</v>
      </c>
      <c r="E14" s="1" t="s">
        <v>0</v>
      </c>
      <c r="G14" s="5" t="s">
        <v>0</v>
      </c>
    </row>
    <row r="15" spans="1:15" x14ac:dyDescent="0.25">
      <c r="C15" s="4" t="s">
        <v>9</v>
      </c>
      <c r="E15" s="2" t="s">
        <v>4</v>
      </c>
      <c r="G15" s="3" t="str">
        <f>IF(ROWS(G$15:G15)&gt;$G$12,"",INDEX(PCustomers[Prospective  Customers],_xlfn.AGGREGATE(15,6,(ROW(PCustomers[Prospective  Customers])-ROW(PCustomers[[#Headers],[Prospective  Customers]]))/ISNA(MATCH(PCustomers[Prospective  Customers],Customers[Customers],0)),ROWS(G$15:G15))))</f>
        <v>Sioux</v>
      </c>
    </row>
    <row r="16" spans="1:15" x14ac:dyDescent="0.25">
      <c r="C16" s="4" t="s">
        <v>10</v>
      </c>
      <c r="E16" s="2" t="s">
        <v>5</v>
      </c>
      <c r="G16" s="3" t="str">
        <f>IF(ROWS(G$15:G16)&gt;$G$12,"",INDEX(PCustomers[Prospective  Customers],_xlfn.AGGREGATE(15,6,(ROW(PCustomers[Prospective  Customers])-ROW(PCustomers[[#Headers],[Prospective  Customers]]))/ISNA(MATCH(PCustomers[Prospective  Customers],Customers[Customers],0)),ROWS(G$15:G16))))</f>
        <v>Sheliadawn</v>
      </c>
    </row>
    <row r="17" spans="3:7" x14ac:dyDescent="0.25">
      <c r="C17" s="4" t="s">
        <v>14</v>
      </c>
      <c r="E17" s="2" t="s">
        <v>8</v>
      </c>
      <c r="G17" s="3" t="str">
        <f>IF(ROWS(G$15:G17)&gt;$G$12,"",INDEX(PCustomers[Prospective  Customers],_xlfn.AGGREGATE(15,6,(ROW(PCustomers[Prospective  Customers])-ROW(PCustomers[[#Headers],[Prospective  Customers]]))/ISNA(MATCH(PCustomers[Prospective  Customers],Customers[Customers],0)),ROWS(G$15:G17))))</f>
        <v/>
      </c>
    </row>
    <row r="18" spans="3:7" x14ac:dyDescent="0.25">
      <c r="C18" s="6" t="s">
        <v>15</v>
      </c>
      <c r="G18" s="3" t="str">
        <f>IF(ROWS(G$15:G18)&gt;$G$12,"",INDEX(PCustomers[Prospective  Customers],_xlfn.AGGREGATE(15,6,(ROW(PCustomers[Prospective  Customers])-ROW(PCustomers[[#Headers],[Prospective  Customers]]))/ISNA(MATCH(PCustomers[Prospective  Customers],Customers[Customers],0)),ROWS(G$15:G18))))</f>
        <v/>
      </c>
    </row>
    <row r="19" spans="3:7" x14ac:dyDescent="0.25">
      <c r="C19" s="6" t="s">
        <v>4</v>
      </c>
      <c r="G19" s="3" t="str">
        <f>IF(ROWS(G$15:G19)&gt;$G$12,"",INDEX(PCustomers[Prospective  Customers],_xlfn.AGGREGATE(15,6,(ROW(PCustomers[Prospective  Customers])-ROW(PCustomers[[#Headers],[Prospective  Customers]]))/ISNA(MATCH(PCustomers[Prospective  Customers],Customers[Customers],0)),ROWS(G$15:G19))))</f>
        <v/>
      </c>
    </row>
    <row r="20" spans="3:7" x14ac:dyDescent="0.25">
      <c r="G20" s="3" t="str">
        <f>IF(ROWS(G$15:G20)&gt;$G$12,"",INDEX(PCustomers[Prospective  Customers],_xlfn.AGGREGATE(15,6,(ROW(PCustomers[Prospective  Customers])-ROW(PCustomers[[#Headers],[Prospective  Customers]]))/ISNA(MATCH(PCustomers[Prospective  Customers],Customers[Customers],0)),ROWS(G$15:G20))))</f>
        <v/>
      </c>
    </row>
    <row r="21" spans="3:7" x14ac:dyDescent="0.25">
      <c r="E21" t="s">
        <v>27</v>
      </c>
    </row>
    <row r="22" spans="3:7" x14ac:dyDescent="0.25">
      <c r="E22" t="s">
        <v>5</v>
      </c>
    </row>
    <row r="23" spans="3:7" x14ac:dyDescent="0.25">
      <c r="E23" t="s">
        <v>8</v>
      </c>
    </row>
  </sheetData>
  <hyperlinks>
    <hyperlink ref="E5" r:id="rId1" xr:uid="{00000000-0004-0000-0000-000000000000}"/>
    <hyperlink ref="E4" r:id="rId2" xr:uid="{00000000-0004-0000-0000-000001000000}"/>
  </hyperlinks>
  <pageMargins left="0.7" right="0.7" top="0.75" bottom="0.75" header="0.3" footer="0.3"/>
  <drawing r:id="rId3"/>
  <tableParts count="3"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71AEB54-2881-48D1-BD3C-47E8823D0A3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0FE3409-BA3E-4D34-BED7-50344945CF48}">
  <ds:schemaRefs/>
</ds:datastoreItem>
</file>

<file path=customXml/itemProps3.xml><?xml version="1.0" encoding="utf-8"?>
<ds:datastoreItem xmlns:ds="http://schemas.openxmlformats.org/officeDocument/2006/customXml" ds:itemID="{62F86E16-BF6F-4E24-BC98-323606ECC07A}">
  <ds:schemaRefs/>
</ds:datastoreItem>
</file>

<file path=customXml/itemProps4.xml><?xml version="1.0" encoding="utf-8"?>
<ds:datastoreItem xmlns:ds="http://schemas.openxmlformats.org/officeDocument/2006/customXml" ds:itemID="{39FCE390-9D6B-4A44-B6B0-DF325B9E7253}">
  <ds:schemaRefs/>
</ds:datastoreItem>
</file>

<file path=customXml/itemProps5.xml><?xml version="1.0" encoding="utf-8"?>
<ds:datastoreItem xmlns:ds="http://schemas.openxmlformats.org/officeDocument/2006/customXml" ds:itemID="{DBFA24A1-FC67-4649-BD4C-84979838404B}">
  <ds:schemaRefs/>
</ds:datastoreItem>
</file>

<file path=customXml/itemProps6.xml><?xml version="1.0" encoding="utf-8"?>
<ds:datastoreItem xmlns:ds="http://schemas.openxmlformats.org/officeDocument/2006/customXml" ds:itemID="{29DA3821-0995-42D1-8CD1-43EA3231AE32}">
  <ds:schemaRefs/>
</ds:datastoreItem>
</file>

<file path=customXml/itemProps7.xml><?xml version="1.0" encoding="utf-8"?>
<ds:datastoreItem xmlns:ds="http://schemas.openxmlformats.org/officeDocument/2006/customXml" ds:itemID="{258C10B5-0641-4BC6-9A22-9E8756036163}">
  <ds:schemaRefs/>
</ds:datastoreItem>
</file>

<file path=customXml/itemProps8.xml><?xml version="1.0" encoding="utf-8"?>
<ds:datastoreItem xmlns:ds="http://schemas.openxmlformats.org/officeDocument/2006/customXml" ds:itemID="{BC6D346E-296C-45AF-B2CF-0A12C9733B34}">
  <ds:schemaRefs/>
</ds:datastoreItem>
</file>

<file path=customXml/itemProps9.xml><?xml version="1.0" encoding="utf-8"?>
<ds:datastoreItem xmlns:ds="http://schemas.openxmlformats.org/officeDocument/2006/customXml" ds:itemID="{006AF77A-63DB-4500-8207-82F7C2EB8869}">
  <ds:schemaRefs/>
</ds:datastoreItem>
</file>

<file path=customXml/itemProps10.xml><?xml version="1.0" encoding="utf-8"?>
<ds:datastoreItem xmlns:ds="http://schemas.openxmlformats.org/officeDocument/2006/customXml" ds:itemID="{752AFBEE-7BA7-442F-BEC0-CE89B3E3B1A2}">
  <ds:schemaRefs/>
</ds:datastoreItem>
</file>

<file path=customXml/itemProps11.xml><?xml version="1.0" encoding="utf-8"?>
<ds:datastoreItem xmlns:ds="http://schemas.openxmlformats.org/officeDocument/2006/customXml" ds:itemID="{D34FA9EA-D1E9-487E-A108-0974D8A28939}">
  <ds:schemaRefs/>
</ds:datastoreItem>
</file>

<file path=customXml/itemProps12.xml><?xml version="1.0" encoding="utf-8"?>
<ds:datastoreItem xmlns:ds="http://schemas.openxmlformats.org/officeDocument/2006/customXml" ds:itemID="{C84E4105-0840-4260-9E93-9F0238C07F81}">
  <ds:schemaRefs/>
</ds:datastoreItem>
</file>

<file path=customXml/itemProps13.xml><?xml version="1.0" encoding="utf-8"?>
<ds:datastoreItem xmlns:ds="http://schemas.openxmlformats.org/officeDocument/2006/customXml" ds:itemID="{8D5A299D-24C3-4432-8085-9A5EF62E10F0}">
  <ds:schemaRefs/>
</ds:datastoreItem>
</file>

<file path=customXml/itemProps14.xml><?xml version="1.0" encoding="utf-8"?>
<ds:datastoreItem xmlns:ds="http://schemas.openxmlformats.org/officeDocument/2006/customXml" ds:itemID="{D6C3B57A-EB2E-4FE2-BF5E-F401075A0677}">
  <ds:schemaRefs/>
</ds:datastoreItem>
</file>

<file path=customXml/itemProps15.xml><?xml version="1.0" encoding="utf-8"?>
<ds:datastoreItem xmlns:ds="http://schemas.openxmlformats.org/officeDocument/2006/customXml" ds:itemID="{F2356D11-6657-40C9-8606-F67D3862DEF6}">
  <ds:schemaRefs/>
</ds:datastoreItem>
</file>

<file path=customXml/itemProps16.xml><?xml version="1.0" encoding="utf-8"?>
<ds:datastoreItem xmlns:ds="http://schemas.openxmlformats.org/officeDocument/2006/customXml" ds:itemID="{4224C4BE-6B71-4474-9CD6-771C391BC7DF}">
  <ds:schemaRefs/>
</ds:datastoreItem>
</file>

<file path=customXml/itemProps17.xml><?xml version="1.0" encoding="utf-8"?>
<ds:datastoreItem xmlns:ds="http://schemas.openxmlformats.org/officeDocument/2006/customXml" ds:itemID="{3516F168-3EFC-485F-BCA8-C316EE227A79}">
  <ds:schemaRefs/>
</ds:datastoreItem>
</file>

<file path=customXml/itemProps18.xml><?xml version="1.0" encoding="utf-8"?>
<ds:datastoreItem xmlns:ds="http://schemas.openxmlformats.org/officeDocument/2006/customXml" ds:itemID="{2D05C96B-C2DE-44C9-9888-F1A47FD389DC}">
  <ds:schemaRefs/>
</ds:datastoreItem>
</file>

<file path=customXml/itemProps19.xml><?xml version="1.0" encoding="utf-8"?>
<ds:datastoreItem xmlns:ds="http://schemas.openxmlformats.org/officeDocument/2006/customXml" ds:itemID="{BA7F9A44-92EA-413D-9835-3C66211D96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1441-1442</vt:lpstr>
      <vt:lpstr>'1441-1442'!Criteria</vt:lpstr>
      <vt:lpstr>'1441-1442'!Extract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2017-06-06T20:06:41Z</dcterms:created>
  <dcterms:modified xsi:type="dcterms:W3CDTF">2018-10-20T03:15:41Z</dcterms:modified>
</cp:coreProperties>
</file>